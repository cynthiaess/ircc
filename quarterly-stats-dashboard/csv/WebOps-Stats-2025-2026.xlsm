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pivotTables/pivotTable11.xml" ContentType="application/vnd.openxmlformats-officedocument.spreadsheetml.pivotTable+xml"/>
  <Override PartName="/xl/drawings/drawing4.xml" ContentType="application/vnd.openxmlformats-officedocument.drawing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ynthia.essiambre\AppData\Roaming\OpenText\OTEdit\EC_GCdocs2\c128083075\"/>
    </mc:Choice>
  </mc:AlternateContent>
  <xr:revisionPtr revIDLastSave="0" documentId="13_ncr:1_{44A6CA58-8B25-4B80-9B24-43EC5BE9C2CD}" xr6:coauthVersionLast="47" xr6:coauthVersionMax="47" xr10:uidLastSave="{00000000-0000-0000-0000-000000000000}"/>
  <bookViews>
    <workbookView xWindow="28680" yWindow="-120" windowWidth="29040" windowHeight="15840" xr2:uid="{0E357578-8B1C-4C47-A3BD-1A9EA88E2C26}"/>
  </bookViews>
  <sheets>
    <sheet name="summary" sheetId="2" r:id="rId1"/>
    <sheet name="coder" sheetId="3" r:id="rId2"/>
    <sheet name="Upd-New-Del" sheetId="10" r:id="rId3"/>
    <sheet name="triager" sheetId="6" r:id="rId4"/>
    <sheet name="QA" sheetId="7" r:id="rId5"/>
    <sheet name="client" sheetId="4" r:id="rId6"/>
    <sheet name="requests" sheetId="5" r:id="rId7"/>
    <sheet name="p6 workplan" sheetId="12" r:id="rId8"/>
    <sheet name="crisis-data" sheetId="13" r:id="rId9"/>
    <sheet name="data" sheetId="1" r:id="rId10"/>
    <sheet name="Holidays" sheetId="8" r:id="rId11"/>
    <sheet name="Notes" sheetId="9" r:id="rId12"/>
    <sheet name="calculations" sheetId="11" r:id="rId13"/>
  </sheets>
  <functionGroups builtInGroupCount="19"/>
  <definedNames>
    <definedName name="_xlnm._FilterDatabase" localSheetId="9" hidden="1">data!$A$1:$AQ$292</definedName>
  </definedNames>
  <calcPr calcId="191029"/>
  <pivotCaches>
    <pivotCache cacheId="9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2" l="1"/>
  <c r="G4" i="2"/>
  <c r="X7" i="2"/>
  <c r="Y7" i="2"/>
  <c r="W7" i="2"/>
  <c r="X11" i="2"/>
  <c r="Y11" i="2"/>
  <c r="W11" i="2"/>
  <c r="Z11" i="2" s="1"/>
  <c r="X19" i="2"/>
  <c r="Y19" i="2"/>
  <c r="W19" i="2"/>
  <c r="X15" i="2"/>
  <c r="Y15" i="2"/>
  <c r="W15" i="2"/>
  <c r="Z19" i="2" l="1"/>
  <c r="Z15" i="2"/>
  <c r="AM3" i="1" l="1"/>
  <c r="AQ3" i="1" s="1"/>
  <c r="AM4" i="1"/>
  <c r="AQ4" i="1" s="1"/>
  <c r="AM5" i="1"/>
  <c r="AQ5" i="1" s="1"/>
  <c r="AM6" i="1"/>
  <c r="AQ6" i="1" s="1"/>
  <c r="AM7" i="1"/>
  <c r="AQ7" i="1" s="1"/>
  <c r="AM8" i="1"/>
  <c r="AQ8" i="1" s="1"/>
  <c r="AM9" i="1"/>
  <c r="AQ9" i="1" s="1"/>
  <c r="AM10" i="1"/>
  <c r="AQ10" i="1" s="1"/>
  <c r="AM11" i="1"/>
  <c r="AQ11" i="1" s="1"/>
  <c r="AM12" i="1"/>
  <c r="AQ12" i="1" s="1"/>
  <c r="AM13" i="1"/>
  <c r="AQ13" i="1" s="1"/>
  <c r="AM14" i="1"/>
  <c r="AQ14" i="1" s="1"/>
  <c r="AM15" i="1"/>
  <c r="AQ15" i="1" s="1"/>
  <c r="AM16" i="1"/>
  <c r="AQ16" i="1" s="1"/>
  <c r="AM17" i="1"/>
  <c r="AQ17" i="1" s="1"/>
  <c r="AM18" i="1"/>
  <c r="AQ18" i="1" s="1"/>
  <c r="AM19" i="1"/>
  <c r="AQ19" i="1" s="1"/>
  <c r="AM20" i="1"/>
  <c r="AQ20" i="1" s="1"/>
  <c r="AM21" i="1"/>
  <c r="AQ21" i="1" s="1"/>
  <c r="AM22" i="1"/>
  <c r="AQ22" i="1" s="1"/>
  <c r="AM23" i="1"/>
  <c r="AQ23" i="1" s="1"/>
  <c r="AM24" i="1"/>
  <c r="AQ24" i="1" s="1"/>
  <c r="AM25" i="1"/>
  <c r="AQ25" i="1" s="1"/>
  <c r="AM26" i="1"/>
  <c r="AQ26" i="1" s="1"/>
  <c r="AM27" i="1"/>
  <c r="AQ27" i="1" s="1"/>
  <c r="AM28" i="1"/>
  <c r="AQ28" i="1" s="1"/>
  <c r="AM29" i="1"/>
  <c r="AQ29" i="1" s="1"/>
  <c r="AM30" i="1"/>
  <c r="AQ30" i="1" s="1"/>
  <c r="AM31" i="1"/>
  <c r="AQ31" i="1" s="1"/>
  <c r="AM32" i="1"/>
  <c r="AQ32" i="1" s="1"/>
  <c r="AM33" i="1"/>
  <c r="AQ33" i="1" s="1"/>
  <c r="AM34" i="1"/>
  <c r="AQ34" i="1" s="1"/>
  <c r="AM35" i="1"/>
  <c r="AQ35" i="1" s="1"/>
  <c r="AM36" i="1"/>
  <c r="AQ36" i="1" s="1"/>
  <c r="AM37" i="1"/>
  <c r="AQ37" i="1" s="1"/>
  <c r="AM38" i="1"/>
  <c r="AQ38" i="1" s="1"/>
  <c r="AM39" i="1"/>
  <c r="AQ39" i="1" s="1"/>
  <c r="AM40" i="1"/>
  <c r="AM41" i="1"/>
  <c r="AQ41" i="1" s="1"/>
  <c r="AM42" i="1"/>
  <c r="AQ42" i="1" s="1"/>
  <c r="AM43" i="1"/>
  <c r="AQ43" i="1" s="1"/>
  <c r="AM44" i="1"/>
  <c r="AQ44" i="1" s="1"/>
  <c r="AM45" i="1"/>
  <c r="AQ45" i="1" s="1"/>
  <c r="AM46" i="1"/>
  <c r="AQ46" i="1" s="1"/>
  <c r="AM47" i="1"/>
  <c r="AM48" i="1"/>
  <c r="AQ48" i="1" s="1"/>
  <c r="AM49" i="1"/>
  <c r="AQ49" i="1" s="1"/>
  <c r="AM50" i="1"/>
  <c r="AM51" i="1"/>
  <c r="AQ51" i="1" s="1"/>
  <c r="AM52" i="1"/>
  <c r="AQ52" i="1" s="1"/>
  <c r="AM53" i="1"/>
  <c r="AQ53" i="1" s="1"/>
  <c r="AM54" i="1"/>
  <c r="AQ54" i="1" s="1"/>
  <c r="AM55" i="1"/>
  <c r="AQ55" i="1" s="1"/>
  <c r="AM56" i="1"/>
  <c r="AQ56" i="1" s="1"/>
  <c r="AM57" i="1"/>
  <c r="AQ57" i="1" s="1"/>
  <c r="AM58" i="1"/>
  <c r="AQ58" i="1" s="1"/>
  <c r="AM59" i="1"/>
  <c r="AQ59" i="1" s="1"/>
  <c r="AM60" i="1"/>
  <c r="AQ60" i="1" s="1"/>
  <c r="AM61" i="1"/>
  <c r="AQ61" i="1" s="1"/>
  <c r="AM62" i="1"/>
  <c r="AQ62" i="1" s="1"/>
  <c r="AM63" i="1"/>
  <c r="AQ63" i="1" s="1"/>
  <c r="AM64" i="1"/>
  <c r="AQ64" i="1" s="1"/>
  <c r="AM65" i="1"/>
  <c r="AQ65" i="1" s="1"/>
  <c r="AM66" i="1"/>
  <c r="AQ66" i="1" s="1"/>
  <c r="AM67" i="1"/>
  <c r="AM68" i="1"/>
  <c r="AQ68" i="1" s="1"/>
  <c r="AM69" i="1"/>
  <c r="AQ69" i="1" s="1"/>
  <c r="AM70" i="1"/>
  <c r="AQ70" i="1" s="1"/>
  <c r="AM71" i="1"/>
  <c r="AQ71" i="1" s="1"/>
  <c r="AM72" i="1"/>
  <c r="AQ72" i="1" s="1"/>
  <c r="AM73" i="1"/>
  <c r="AQ73" i="1" s="1"/>
  <c r="AM74" i="1"/>
  <c r="AQ74" i="1" s="1"/>
  <c r="AM75" i="1"/>
  <c r="AQ75" i="1" s="1"/>
  <c r="AM76" i="1"/>
  <c r="AQ76" i="1" s="1"/>
  <c r="AM77" i="1"/>
  <c r="AQ77" i="1" s="1"/>
  <c r="AM78" i="1"/>
  <c r="AQ78" i="1" s="1"/>
  <c r="AM79" i="1"/>
  <c r="AQ79" i="1" s="1"/>
  <c r="AM80" i="1"/>
  <c r="AQ80" i="1" s="1"/>
  <c r="AM81" i="1"/>
  <c r="AQ81" i="1" s="1"/>
  <c r="AM82" i="1"/>
  <c r="AQ82" i="1" s="1"/>
  <c r="AM83" i="1"/>
  <c r="AQ83" i="1" s="1"/>
  <c r="AM84" i="1"/>
  <c r="AQ84" i="1" s="1"/>
  <c r="AM85" i="1"/>
  <c r="AQ85" i="1" s="1"/>
  <c r="AM86" i="1"/>
  <c r="AQ86" i="1" s="1"/>
  <c r="AM87" i="1"/>
  <c r="AQ87" i="1" s="1"/>
  <c r="AM88" i="1"/>
  <c r="AQ88" i="1" s="1"/>
  <c r="AM89" i="1"/>
  <c r="AQ89" i="1" s="1"/>
  <c r="AM90" i="1"/>
  <c r="AQ90" i="1" s="1"/>
  <c r="AM91" i="1"/>
  <c r="AM92" i="1"/>
  <c r="AQ92" i="1" s="1"/>
  <c r="AM93" i="1"/>
  <c r="AQ93" i="1" s="1"/>
  <c r="AM94" i="1"/>
  <c r="AQ94" i="1" s="1"/>
  <c r="AM95" i="1"/>
  <c r="AQ95" i="1" s="1"/>
  <c r="AM96" i="1"/>
  <c r="AQ96" i="1" s="1"/>
  <c r="AM97" i="1"/>
  <c r="AQ97" i="1" s="1"/>
  <c r="AM98" i="1"/>
  <c r="AQ98" i="1" s="1"/>
  <c r="AM99" i="1"/>
  <c r="AQ99" i="1" s="1"/>
  <c r="AM100" i="1"/>
  <c r="AQ100" i="1" s="1"/>
  <c r="AM101" i="1"/>
  <c r="AQ101" i="1" s="1"/>
  <c r="AM102" i="1"/>
  <c r="AQ102" i="1" s="1"/>
  <c r="AM103" i="1"/>
  <c r="AQ103" i="1" s="1"/>
  <c r="AM104" i="1"/>
  <c r="AQ104" i="1" s="1"/>
  <c r="AM105" i="1"/>
  <c r="AQ105" i="1" s="1"/>
  <c r="AM106" i="1"/>
  <c r="AQ106" i="1" s="1"/>
  <c r="AM107" i="1"/>
  <c r="AQ107" i="1" s="1"/>
  <c r="AM108" i="1"/>
  <c r="AQ108" i="1" s="1"/>
  <c r="AM109" i="1"/>
  <c r="AQ109" i="1" s="1"/>
  <c r="AM110" i="1"/>
  <c r="AQ110" i="1" s="1"/>
  <c r="AM111" i="1"/>
  <c r="AQ111" i="1" s="1"/>
  <c r="AM112" i="1"/>
  <c r="AQ112" i="1" s="1"/>
  <c r="AM113" i="1"/>
  <c r="AQ113" i="1" s="1"/>
  <c r="AM114" i="1"/>
  <c r="AQ114" i="1" s="1"/>
  <c r="AM115" i="1"/>
  <c r="AQ115" i="1" s="1"/>
  <c r="AM116" i="1"/>
  <c r="AQ116" i="1" s="1"/>
  <c r="AM117" i="1"/>
  <c r="AQ117" i="1" s="1"/>
  <c r="AM118" i="1"/>
  <c r="AQ118" i="1" s="1"/>
  <c r="AM119" i="1"/>
  <c r="AQ119" i="1" s="1"/>
  <c r="AM120" i="1"/>
  <c r="AM121" i="1"/>
  <c r="AQ121" i="1" s="1"/>
  <c r="AM122" i="1"/>
  <c r="AQ122" i="1" s="1"/>
  <c r="AM123" i="1"/>
  <c r="AQ123" i="1" s="1"/>
  <c r="AM124" i="1"/>
  <c r="AQ124" i="1" s="1"/>
  <c r="AM125" i="1"/>
  <c r="AQ125" i="1" s="1"/>
  <c r="AM126" i="1"/>
  <c r="AQ126" i="1" s="1"/>
  <c r="AM127" i="1"/>
  <c r="AQ127" i="1" s="1"/>
  <c r="AM128" i="1"/>
  <c r="AQ128" i="1" s="1"/>
  <c r="AM129" i="1"/>
  <c r="AQ129" i="1" s="1"/>
  <c r="AM130" i="1"/>
  <c r="AQ130" i="1" s="1"/>
  <c r="AM131" i="1"/>
  <c r="AQ131" i="1" s="1"/>
  <c r="AM132" i="1"/>
  <c r="AQ132" i="1" s="1"/>
  <c r="AM133" i="1"/>
  <c r="AQ133" i="1" s="1"/>
  <c r="AM134" i="1"/>
  <c r="AQ134" i="1" s="1"/>
  <c r="AM135" i="1"/>
  <c r="AQ135" i="1" s="1"/>
  <c r="AM136" i="1"/>
  <c r="AQ136" i="1" s="1"/>
  <c r="AM137" i="1"/>
  <c r="AQ137" i="1" s="1"/>
  <c r="AM138" i="1"/>
  <c r="AQ138" i="1" s="1"/>
  <c r="AM139" i="1"/>
  <c r="AQ139" i="1" s="1"/>
  <c r="AM140" i="1"/>
  <c r="AQ140" i="1" s="1"/>
  <c r="AM141" i="1"/>
  <c r="AQ141" i="1" s="1"/>
  <c r="AM142" i="1"/>
  <c r="AQ142" i="1" s="1"/>
  <c r="AM143" i="1"/>
  <c r="AQ143" i="1" s="1"/>
  <c r="AM144" i="1"/>
  <c r="AQ144" i="1" s="1"/>
  <c r="AM145" i="1"/>
  <c r="AQ145" i="1" s="1"/>
  <c r="AM146" i="1"/>
  <c r="AQ146" i="1" s="1"/>
  <c r="AM147" i="1"/>
  <c r="AQ147" i="1" s="1"/>
  <c r="AM148" i="1"/>
  <c r="AQ148" i="1" s="1"/>
  <c r="AM149" i="1"/>
  <c r="AQ149" i="1" s="1"/>
  <c r="AM150" i="1"/>
  <c r="AQ150" i="1" s="1"/>
  <c r="AM151" i="1"/>
  <c r="AQ151" i="1" s="1"/>
  <c r="AM152" i="1"/>
  <c r="AQ152" i="1" s="1"/>
  <c r="AM153" i="1"/>
  <c r="AQ153" i="1" s="1"/>
  <c r="AM154" i="1"/>
  <c r="AQ154" i="1" s="1"/>
  <c r="AM155" i="1"/>
  <c r="AQ155" i="1" s="1"/>
  <c r="AM156" i="1"/>
  <c r="AQ156" i="1" s="1"/>
  <c r="AM157" i="1"/>
  <c r="AQ157" i="1" s="1"/>
  <c r="AM158" i="1"/>
  <c r="AQ158" i="1" s="1"/>
  <c r="AM159" i="1"/>
  <c r="AQ159" i="1" s="1"/>
  <c r="AM160" i="1"/>
  <c r="AM161" i="1"/>
  <c r="AQ161" i="1" s="1"/>
  <c r="AM162" i="1"/>
  <c r="AQ162" i="1" s="1"/>
  <c r="AM163" i="1"/>
  <c r="AQ163" i="1" s="1"/>
  <c r="AM164" i="1"/>
  <c r="AQ164" i="1" s="1"/>
  <c r="AM165" i="1"/>
  <c r="AQ165" i="1" s="1"/>
  <c r="AM166" i="1"/>
  <c r="AQ166" i="1" s="1"/>
  <c r="AM167" i="1"/>
  <c r="AQ167" i="1" s="1"/>
  <c r="AM168" i="1"/>
  <c r="AQ168" i="1" s="1"/>
  <c r="AM169" i="1"/>
  <c r="AQ169" i="1" s="1"/>
  <c r="AM170" i="1"/>
  <c r="AQ170" i="1" s="1"/>
  <c r="AM171" i="1"/>
  <c r="AQ171" i="1" s="1"/>
  <c r="AM172" i="1"/>
  <c r="AQ172" i="1" s="1"/>
  <c r="AM173" i="1"/>
  <c r="AQ173" i="1" s="1"/>
  <c r="AM174" i="1"/>
  <c r="AQ174" i="1" s="1"/>
  <c r="AM175" i="1"/>
  <c r="AM176" i="1"/>
  <c r="AQ176" i="1" s="1"/>
  <c r="AM177" i="1"/>
  <c r="AQ177" i="1" s="1"/>
  <c r="AM178" i="1"/>
  <c r="AM179" i="1"/>
  <c r="AQ179" i="1" s="1"/>
  <c r="AM180" i="1"/>
  <c r="AQ180" i="1" s="1"/>
  <c r="AM181" i="1"/>
  <c r="AQ181" i="1" s="1"/>
  <c r="AM182" i="1"/>
  <c r="AQ182" i="1" s="1"/>
  <c r="AM183" i="1"/>
  <c r="AQ183" i="1" s="1"/>
  <c r="AM184" i="1"/>
  <c r="AQ184" i="1" s="1"/>
  <c r="AM185" i="1"/>
  <c r="AQ185" i="1" s="1"/>
  <c r="AM186" i="1"/>
  <c r="AQ186" i="1" s="1"/>
  <c r="AM187" i="1"/>
  <c r="AQ187" i="1" s="1"/>
  <c r="AM188" i="1"/>
  <c r="AQ188" i="1" s="1"/>
  <c r="AM189" i="1"/>
  <c r="AQ189" i="1" s="1"/>
  <c r="AM190" i="1"/>
  <c r="AQ190" i="1" s="1"/>
  <c r="AM191" i="1"/>
  <c r="AQ191" i="1" s="1"/>
  <c r="AM192" i="1"/>
  <c r="AM193" i="1"/>
  <c r="AQ193" i="1" s="1"/>
  <c r="AM194" i="1"/>
  <c r="AQ194" i="1" s="1"/>
  <c r="AM195" i="1"/>
  <c r="AQ195" i="1" s="1"/>
  <c r="AM196" i="1"/>
  <c r="AQ196" i="1" s="1"/>
  <c r="AM197" i="1"/>
  <c r="AQ197" i="1" s="1"/>
  <c r="AM198" i="1"/>
  <c r="AQ198" i="1" s="1"/>
  <c r="AM199" i="1"/>
  <c r="AQ199" i="1" s="1"/>
  <c r="AM200" i="1"/>
  <c r="AQ200" i="1" s="1"/>
  <c r="AM201" i="1"/>
  <c r="AQ201" i="1" s="1"/>
  <c r="AM202" i="1"/>
  <c r="AQ202" i="1" s="1"/>
  <c r="AM203" i="1"/>
  <c r="AQ203" i="1" s="1"/>
  <c r="AM204" i="1"/>
  <c r="AQ204" i="1" s="1"/>
  <c r="AM205" i="1"/>
  <c r="AQ205" i="1" s="1"/>
  <c r="AM206" i="1"/>
  <c r="AQ206" i="1" s="1"/>
  <c r="AM207" i="1"/>
  <c r="AQ207" i="1" s="1"/>
  <c r="AM208" i="1"/>
  <c r="AQ208" i="1" s="1"/>
  <c r="AM209" i="1"/>
  <c r="AQ209" i="1" s="1"/>
  <c r="AM210" i="1"/>
  <c r="AQ210" i="1" s="1"/>
  <c r="AM211" i="1"/>
  <c r="AM212" i="1"/>
  <c r="AM213" i="1"/>
  <c r="AQ213" i="1" s="1"/>
  <c r="AM214" i="1"/>
  <c r="AQ214" i="1" s="1"/>
  <c r="AM215" i="1"/>
  <c r="AQ215" i="1" s="1"/>
  <c r="AM216" i="1"/>
  <c r="AQ216" i="1" s="1"/>
  <c r="AM217" i="1"/>
  <c r="AQ217" i="1" s="1"/>
  <c r="AM218" i="1"/>
  <c r="AQ218" i="1" s="1"/>
  <c r="AM219" i="1"/>
  <c r="AQ219" i="1" s="1"/>
  <c r="AM220" i="1"/>
  <c r="AQ220" i="1" s="1"/>
  <c r="AM221" i="1"/>
  <c r="AQ221" i="1" s="1"/>
  <c r="AM222" i="1"/>
  <c r="AQ222" i="1" s="1"/>
  <c r="AM223" i="1"/>
  <c r="AQ223" i="1" s="1"/>
  <c r="AM224" i="1"/>
  <c r="AM225" i="1"/>
  <c r="AQ225" i="1" s="1"/>
  <c r="AM226" i="1"/>
  <c r="AQ226" i="1" s="1"/>
  <c r="AM227" i="1"/>
  <c r="AQ227" i="1" s="1"/>
  <c r="AM228" i="1"/>
  <c r="AQ228" i="1" s="1"/>
  <c r="AM229" i="1"/>
  <c r="AQ229" i="1" s="1"/>
  <c r="AM230" i="1"/>
  <c r="AQ230" i="1" s="1"/>
  <c r="AM231" i="1"/>
  <c r="AQ231" i="1" s="1"/>
  <c r="AM232" i="1"/>
  <c r="AQ232" i="1" s="1"/>
  <c r="AM233" i="1"/>
  <c r="AQ233" i="1" s="1"/>
  <c r="AM234" i="1"/>
  <c r="AQ234" i="1" s="1"/>
  <c r="AM235" i="1"/>
  <c r="AQ235" i="1" s="1"/>
  <c r="AM236" i="1"/>
  <c r="AQ236" i="1" s="1"/>
  <c r="AM237" i="1"/>
  <c r="AQ237" i="1" s="1"/>
  <c r="AM238" i="1"/>
  <c r="AQ238" i="1" s="1"/>
  <c r="AM239" i="1"/>
  <c r="AQ239" i="1" s="1"/>
  <c r="AM240" i="1"/>
  <c r="AQ240" i="1" s="1"/>
  <c r="AM241" i="1"/>
  <c r="AQ241" i="1" s="1"/>
  <c r="AM242" i="1"/>
  <c r="AQ242" i="1" s="1"/>
  <c r="AM243" i="1"/>
  <c r="AQ243" i="1" s="1"/>
  <c r="AM244" i="1"/>
  <c r="AQ244" i="1" s="1"/>
  <c r="AM245" i="1"/>
  <c r="AQ245" i="1" s="1"/>
  <c r="AM246" i="1"/>
  <c r="AQ246" i="1" s="1"/>
  <c r="AM247" i="1"/>
  <c r="AQ247" i="1" s="1"/>
  <c r="AM248" i="1"/>
  <c r="AQ248" i="1" s="1"/>
  <c r="AM249" i="1"/>
  <c r="AQ249" i="1" s="1"/>
  <c r="AM250" i="1"/>
  <c r="AQ250" i="1" s="1"/>
  <c r="AM251" i="1"/>
  <c r="AQ251" i="1" s="1"/>
  <c r="AM252" i="1"/>
  <c r="AQ252" i="1" s="1"/>
  <c r="AM253" i="1"/>
  <c r="AQ253" i="1" s="1"/>
  <c r="AM254" i="1"/>
  <c r="AQ254" i="1" s="1"/>
  <c r="AM255" i="1"/>
  <c r="AQ255" i="1" s="1"/>
  <c r="AM256" i="1"/>
  <c r="AM257" i="1"/>
  <c r="AQ257" i="1" s="1"/>
  <c r="AM258" i="1"/>
  <c r="AQ258" i="1" s="1"/>
  <c r="AM259" i="1"/>
  <c r="AQ259" i="1" s="1"/>
  <c r="AM260" i="1"/>
  <c r="AQ260" i="1" s="1"/>
  <c r="AM261" i="1"/>
  <c r="AQ261" i="1" s="1"/>
  <c r="AM262" i="1"/>
  <c r="AQ262" i="1" s="1"/>
  <c r="AM263" i="1"/>
  <c r="AQ263" i="1" s="1"/>
  <c r="AM264" i="1"/>
  <c r="AQ264" i="1" s="1"/>
  <c r="AM265" i="1"/>
  <c r="AQ265" i="1" s="1"/>
  <c r="AM266" i="1"/>
  <c r="AQ266" i="1" s="1"/>
  <c r="AM267" i="1"/>
  <c r="AQ267" i="1" s="1"/>
  <c r="AM268" i="1"/>
  <c r="AQ268" i="1" s="1"/>
  <c r="AM269" i="1"/>
  <c r="AQ269" i="1" s="1"/>
  <c r="AM270" i="1"/>
  <c r="AQ270" i="1" s="1"/>
  <c r="AM271" i="1"/>
  <c r="AQ271" i="1" s="1"/>
  <c r="AM272" i="1"/>
  <c r="AQ272" i="1" s="1"/>
  <c r="AM273" i="1"/>
  <c r="AQ273" i="1" s="1"/>
  <c r="AM274" i="1"/>
  <c r="AQ274" i="1" s="1"/>
  <c r="AM275" i="1"/>
  <c r="AQ275" i="1" s="1"/>
  <c r="AM276" i="1"/>
  <c r="AQ276" i="1" s="1"/>
  <c r="AM277" i="1"/>
  <c r="AQ277" i="1" s="1"/>
  <c r="AM278" i="1"/>
  <c r="AQ278" i="1" s="1"/>
  <c r="AM279" i="1"/>
  <c r="AQ279" i="1" s="1"/>
  <c r="AM280" i="1"/>
  <c r="AQ280" i="1" s="1"/>
  <c r="AM281" i="1"/>
  <c r="AQ281" i="1" s="1"/>
  <c r="AM282" i="1"/>
  <c r="AQ282" i="1" s="1"/>
  <c r="AM283" i="1"/>
  <c r="AQ283" i="1" s="1"/>
  <c r="AM284" i="1"/>
  <c r="AQ284" i="1" s="1"/>
  <c r="AM285" i="1"/>
  <c r="AQ285" i="1" s="1"/>
  <c r="AM286" i="1"/>
  <c r="AQ286" i="1" s="1"/>
  <c r="AM287" i="1"/>
  <c r="AQ287" i="1" s="1"/>
  <c r="AM288" i="1"/>
  <c r="AM289" i="1"/>
  <c r="AQ289" i="1" s="1"/>
  <c r="AM290" i="1"/>
  <c r="AQ290" i="1" s="1"/>
  <c r="AM291" i="1"/>
  <c r="AQ291" i="1" s="1"/>
  <c r="AM292" i="1"/>
  <c r="AQ292" i="1" s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O3" i="1"/>
  <c r="AP3" i="1" s="1"/>
  <c r="AO4" i="1"/>
  <c r="AP4" i="1" s="1"/>
  <c r="AO5" i="1"/>
  <c r="AP5" i="1" s="1"/>
  <c r="AO6" i="1"/>
  <c r="AP6" i="1" s="1"/>
  <c r="AO7" i="1"/>
  <c r="AP7" i="1" s="1"/>
  <c r="AO8" i="1"/>
  <c r="AP8" i="1" s="1"/>
  <c r="AO9" i="1"/>
  <c r="AP9" i="1" s="1"/>
  <c r="AO10" i="1"/>
  <c r="AP10" i="1" s="1"/>
  <c r="AO11" i="1"/>
  <c r="AP11" i="1" s="1"/>
  <c r="AO12" i="1"/>
  <c r="AP12" i="1" s="1"/>
  <c r="AO13" i="1"/>
  <c r="AP13" i="1" s="1"/>
  <c r="AO14" i="1"/>
  <c r="AP14" i="1" s="1"/>
  <c r="AO15" i="1"/>
  <c r="AP15" i="1" s="1"/>
  <c r="AO16" i="1"/>
  <c r="AP16" i="1" s="1"/>
  <c r="AO17" i="1"/>
  <c r="AP17" i="1" s="1"/>
  <c r="AO18" i="1"/>
  <c r="AP18" i="1" s="1"/>
  <c r="AO19" i="1"/>
  <c r="AO20" i="1"/>
  <c r="AP20" i="1" s="1"/>
  <c r="AO21" i="1"/>
  <c r="AP21" i="1" s="1"/>
  <c r="AO22" i="1"/>
  <c r="AP22" i="1" s="1"/>
  <c r="AO23" i="1"/>
  <c r="AP23" i="1" s="1"/>
  <c r="AO24" i="1"/>
  <c r="AP24" i="1" s="1"/>
  <c r="AO25" i="1"/>
  <c r="AP25" i="1" s="1"/>
  <c r="AO26" i="1"/>
  <c r="AP26" i="1" s="1"/>
  <c r="AO27" i="1"/>
  <c r="AP27" i="1" s="1"/>
  <c r="AO28" i="1"/>
  <c r="AP28" i="1" s="1"/>
  <c r="AO29" i="1"/>
  <c r="AP29" i="1" s="1"/>
  <c r="AO30" i="1"/>
  <c r="AP30" i="1" s="1"/>
  <c r="AO31" i="1"/>
  <c r="AP31" i="1" s="1"/>
  <c r="AO32" i="1"/>
  <c r="AP32" i="1" s="1"/>
  <c r="AO33" i="1"/>
  <c r="AP33" i="1" s="1"/>
  <c r="AO34" i="1"/>
  <c r="AP34" i="1" s="1"/>
  <c r="AO35" i="1"/>
  <c r="AP35" i="1" s="1"/>
  <c r="AO36" i="1"/>
  <c r="AP36" i="1" s="1"/>
  <c r="AO37" i="1"/>
  <c r="AP37" i="1" s="1"/>
  <c r="AO38" i="1"/>
  <c r="AP38" i="1" s="1"/>
  <c r="AO39" i="1"/>
  <c r="AP39" i="1" s="1"/>
  <c r="AO40" i="1"/>
  <c r="AP40" i="1" s="1"/>
  <c r="AO41" i="1"/>
  <c r="AP41" i="1" s="1"/>
  <c r="AO42" i="1"/>
  <c r="AP42" i="1" s="1"/>
  <c r="AO43" i="1"/>
  <c r="AP43" i="1" s="1"/>
  <c r="AO44" i="1"/>
  <c r="AP44" i="1" s="1"/>
  <c r="AO45" i="1"/>
  <c r="AP45" i="1" s="1"/>
  <c r="AO46" i="1"/>
  <c r="AP46" i="1" s="1"/>
  <c r="AO47" i="1"/>
  <c r="AP47" i="1" s="1"/>
  <c r="AO48" i="1"/>
  <c r="AP48" i="1" s="1"/>
  <c r="AO49" i="1"/>
  <c r="AP49" i="1" s="1"/>
  <c r="AO50" i="1"/>
  <c r="AP50" i="1" s="1"/>
  <c r="AO51" i="1"/>
  <c r="AP51" i="1" s="1"/>
  <c r="AO52" i="1"/>
  <c r="AP52" i="1" s="1"/>
  <c r="AO53" i="1"/>
  <c r="AP53" i="1" s="1"/>
  <c r="AO54" i="1"/>
  <c r="AP54" i="1" s="1"/>
  <c r="AO55" i="1"/>
  <c r="AP55" i="1" s="1"/>
  <c r="AO56" i="1"/>
  <c r="AP56" i="1" s="1"/>
  <c r="AO57" i="1"/>
  <c r="AP57" i="1" s="1"/>
  <c r="AO58" i="1"/>
  <c r="AP58" i="1" s="1"/>
  <c r="AO59" i="1"/>
  <c r="AP59" i="1" s="1"/>
  <c r="AO60" i="1"/>
  <c r="AP60" i="1" s="1"/>
  <c r="AO61" i="1"/>
  <c r="AP61" i="1" s="1"/>
  <c r="AO62" i="1"/>
  <c r="AP62" i="1" s="1"/>
  <c r="AO63" i="1"/>
  <c r="AP63" i="1" s="1"/>
  <c r="AO64" i="1"/>
  <c r="AP64" i="1" s="1"/>
  <c r="AO65" i="1"/>
  <c r="AP65" i="1" s="1"/>
  <c r="AO66" i="1"/>
  <c r="AP66" i="1" s="1"/>
  <c r="AO67" i="1"/>
  <c r="AP67" i="1" s="1"/>
  <c r="AO68" i="1"/>
  <c r="AP68" i="1" s="1"/>
  <c r="AO69" i="1"/>
  <c r="AP69" i="1" s="1"/>
  <c r="AO70" i="1"/>
  <c r="AP70" i="1" s="1"/>
  <c r="AO71" i="1"/>
  <c r="AP71" i="1" s="1"/>
  <c r="AO72" i="1"/>
  <c r="AP72" i="1" s="1"/>
  <c r="AO73" i="1"/>
  <c r="AP73" i="1" s="1"/>
  <c r="AO74" i="1"/>
  <c r="AP74" i="1" s="1"/>
  <c r="AO75" i="1"/>
  <c r="AP75" i="1" s="1"/>
  <c r="AO76" i="1"/>
  <c r="AP76" i="1" s="1"/>
  <c r="AO77" i="1"/>
  <c r="AP77" i="1" s="1"/>
  <c r="AO78" i="1"/>
  <c r="AP78" i="1" s="1"/>
  <c r="AO79" i="1"/>
  <c r="AP79" i="1" s="1"/>
  <c r="AO80" i="1"/>
  <c r="AP80" i="1" s="1"/>
  <c r="AO81" i="1"/>
  <c r="AP81" i="1" s="1"/>
  <c r="AO82" i="1"/>
  <c r="AP82" i="1" s="1"/>
  <c r="AO83" i="1"/>
  <c r="AO84" i="1"/>
  <c r="AP84" i="1" s="1"/>
  <c r="AO85" i="1"/>
  <c r="AP85" i="1" s="1"/>
  <c r="AO86" i="1"/>
  <c r="AP86" i="1" s="1"/>
  <c r="AO87" i="1"/>
  <c r="AP87" i="1" s="1"/>
  <c r="AO88" i="1"/>
  <c r="AP88" i="1" s="1"/>
  <c r="AO89" i="1"/>
  <c r="AP89" i="1" s="1"/>
  <c r="AO90" i="1"/>
  <c r="AP90" i="1" s="1"/>
  <c r="AO91" i="1"/>
  <c r="AP91" i="1" s="1"/>
  <c r="AO92" i="1"/>
  <c r="AP92" i="1" s="1"/>
  <c r="AO93" i="1"/>
  <c r="AP93" i="1" s="1"/>
  <c r="AO94" i="1"/>
  <c r="AP94" i="1" s="1"/>
  <c r="AO95" i="1"/>
  <c r="AP95" i="1" s="1"/>
  <c r="AO96" i="1"/>
  <c r="AP96" i="1" s="1"/>
  <c r="AO97" i="1"/>
  <c r="AP97" i="1" s="1"/>
  <c r="AO98" i="1"/>
  <c r="AP98" i="1" s="1"/>
  <c r="AO99" i="1"/>
  <c r="AP99" i="1" s="1"/>
  <c r="AO100" i="1"/>
  <c r="AP100" i="1" s="1"/>
  <c r="AO101" i="1"/>
  <c r="AP101" i="1" s="1"/>
  <c r="AO102" i="1"/>
  <c r="AP102" i="1" s="1"/>
  <c r="AO103" i="1"/>
  <c r="AP103" i="1" s="1"/>
  <c r="AO104" i="1"/>
  <c r="AP104" i="1" s="1"/>
  <c r="AO105" i="1"/>
  <c r="AP105" i="1" s="1"/>
  <c r="AO106" i="1"/>
  <c r="AP106" i="1" s="1"/>
  <c r="AO107" i="1"/>
  <c r="AP107" i="1" s="1"/>
  <c r="AO108" i="1"/>
  <c r="AP108" i="1" s="1"/>
  <c r="AO109" i="1"/>
  <c r="AP109" i="1" s="1"/>
  <c r="AO110" i="1"/>
  <c r="AP110" i="1" s="1"/>
  <c r="AO111" i="1"/>
  <c r="AP111" i="1" s="1"/>
  <c r="AO112" i="1"/>
  <c r="AP112" i="1" s="1"/>
  <c r="AO113" i="1"/>
  <c r="AP113" i="1" s="1"/>
  <c r="AO114" i="1"/>
  <c r="AP114" i="1" s="1"/>
  <c r="AO115" i="1"/>
  <c r="AP115" i="1" s="1"/>
  <c r="AO116" i="1"/>
  <c r="AP116" i="1" s="1"/>
  <c r="AO117" i="1"/>
  <c r="AP117" i="1" s="1"/>
  <c r="AO118" i="1"/>
  <c r="AP118" i="1" s="1"/>
  <c r="AO119" i="1"/>
  <c r="AP119" i="1" s="1"/>
  <c r="AO120" i="1"/>
  <c r="AP120" i="1" s="1"/>
  <c r="AO121" i="1"/>
  <c r="AP121" i="1" s="1"/>
  <c r="AO122" i="1"/>
  <c r="AP122" i="1" s="1"/>
  <c r="AO123" i="1"/>
  <c r="AP123" i="1" s="1"/>
  <c r="AO124" i="1"/>
  <c r="AP124" i="1" s="1"/>
  <c r="AO125" i="1"/>
  <c r="AP125" i="1" s="1"/>
  <c r="AO126" i="1"/>
  <c r="AP126" i="1" s="1"/>
  <c r="AO127" i="1"/>
  <c r="AP127" i="1" s="1"/>
  <c r="AO128" i="1"/>
  <c r="AP128" i="1" s="1"/>
  <c r="AO129" i="1"/>
  <c r="AP129" i="1" s="1"/>
  <c r="AO130" i="1"/>
  <c r="AP130" i="1" s="1"/>
  <c r="AO131" i="1"/>
  <c r="AP131" i="1" s="1"/>
  <c r="AO132" i="1"/>
  <c r="AP132" i="1" s="1"/>
  <c r="AO133" i="1"/>
  <c r="AP133" i="1" s="1"/>
  <c r="AO134" i="1"/>
  <c r="AP134" i="1" s="1"/>
  <c r="AO135" i="1"/>
  <c r="AP135" i="1" s="1"/>
  <c r="AO136" i="1"/>
  <c r="AP136" i="1" s="1"/>
  <c r="AO137" i="1"/>
  <c r="AP137" i="1" s="1"/>
  <c r="AO138" i="1"/>
  <c r="AP138" i="1" s="1"/>
  <c r="AO139" i="1"/>
  <c r="AP139" i="1" s="1"/>
  <c r="AO140" i="1"/>
  <c r="AP140" i="1" s="1"/>
  <c r="AO141" i="1"/>
  <c r="AP141" i="1" s="1"/>
  <c r="AO142" i="1"/>
  <c r="AP142" i="1" s="1"/>
  <c r="AO143" i="1"/>
  <c r="AP143" i="1" s="1"/>
  <c r="AO144" i="1"/>
  <c r="AP144" i="1" s="1"/>
  <c r="AO145" i="1"/>
  <c r="AP145" i="1" s="1"/>
  <c r="AO146" i="1"/>
  <c r="AP146" i="1" s="1"/>
  <c r="AO147" i="1"/>
  <c r="AP147" i="1" s="1"/>
  <c r="AO148" i="1"/>
  <c r="AP148" i="1" s="1"/>
  <c r="AO149" i="1"/>
  <c r="AP149" i="1" s="1"/>
  <c r="AO150" i="1"/>
  <c r="AP150" i="1" s="1"/>
  <c r="AO151" i="1"/>
  <c r="AP151" i="1" s="1"/>
  <c r="AO152" i="1"/>
  <c r="AP152" i="1" s="1"/>
  <c r="AO153" i="1"/>
  <c r="AP153" i="1" s="1"/>
  <c r="AO154" i="1"/>
  <c r="AP154" i="1" s="1"/>
  <c r="AO155" i="1"/>
  <c r="AP155" i="1" s="1"/>
  <c r="AO156" i="1"/>
  <c r="AP156" i="1" s="1"/>
  <c r="AO157" i="1"/>
  <c r="AP157" i="1" s="1"/>
  <c r="AO158" i="1"/>
  <c r="AP158" i="1" s="1"/>
  <c r="AO159" i="1"/>
  <c r="AP159" i="1" s="1"/>
  <c r="AO160" i="1"/>
  <c r="AP160" i="1" s="1"/>
  <c r="AO161" i="1"/>
  <c r="AP161" i="1" s="1"/>
  <c r="AO162" i="1"/>
  <c r="AP162" i="1" s="1"/>
  <c r="AO163" i="1"/>
  <c r="AP163" i="1" s="1"/>
  <c r="AO164" i="1"/>
  <c r="AP164" i="1" s="1"/>
  <c r="AO165" i="1"/>
  <c r="AP165" i="1" s="1"/>
  <c r="AO166" i="1"/>
  <c r="AP166" i="1" s="1"/>
  <c r="AO167" i="1"/>
  <c r="AP167" i="1" s="1"/>
  <c r="AO168" i="1"/>
  <c r="AP168" i="1" s="1"/>
  <c r="AO169" i="1"/>
  <c r="AP169" i="1" s="1"/>
  <c r="AO170" i="1"/>
  <c r="AP170" i="1" s="1"/>
  <c r="AO171" i="1"/>
  <c r="AO172" i="1"/>
  <c r="AP172" i="1" s="1"/>
  <c r="AO173" i="1"/>
  <c r="AP173" i="1" s="1"/>
  <c r="AO174" i="1"/>
  <c r="AP174" i="1" s="1"/>
  <c r="AO175" i="1"/>
  <c r="AP175" i="1" s="1"/>
  <c r="AO176" i="1"/>
  <c r="AP176" i="1" s="1"/>
  <c r="AO177" i="1"/>
  <c r="AP177" i="1" s="1"/>
  <c r="AO178" i="1"/>
  <c r="AP178" i="1" s="1"/>
  <c r="AO179" i="1"/>
  <c r="AP179" i="1" s="1"/>
  <c r="AO180" i="1"/>
  <c r="AP180" i="1" s="1"/>
  <c r="AO181" i="1"/>
  <c r="AP181" i="1" s="1"/>
  <c r="AO182" i="1"/>
  <c r="AP182" i="1" s="1"/>
  <c r="AO183" i="1"/>
  <c r="AP183" i="1" s="1"/>
  <c r="AO184" i="1"/>
  <c r="AP184" i="1" s="1"/>
  <c r="AO185" i="1"/>
  <c r="AP185" i="1" s="1"/>
  <c r="AO186" i="1"/>
  <c r="AP186" i="1" s="1"/>
  <c r="AO187" i="1"/>
  <c r="AP187" i="1" s="1"/>
  <c r="AO188" i="1"/>
  <c r="AP188" i="1" s="1"/>
  <c r="AO189" i="1"/>
  <c r="AP189" i="1" s="1"/>
  <c r="AO190" i="1"/>
  <c r="AP190" i="1" s="1"/>
  <c r="AO191" i="1"/>
  <c r="AP191" i="1" s="1"/>
  <c r="AO192" i="1"/>
  <c r="AP192" i="1" s="1"/>
  <c r="AO193" i="1"/>
  <c r="AP193" i="1" s="1"/>
  <c r="AO194" i="1"/>
  <c r="AP194" i="1" s="1"/>
  <c r="AO195" i="1"/>
  <c r="AP195" i="1" s="1"/>
  <c r="AO196" i="1"/>
  <c r="AP196" i="1" s="1"/>
  <c r="AO197" i="1"/>
  <c r="AP197" i="1" s="1"/>
  <c r="AO198" i="1"/>
  <c r="AP198" i="1" s="1"/>
  <c r="AO199" i="1"/>
  <c r="AP199" i="1" s="1"/>
  <c r="AO200" i="1"/>
  <c r="AP200" i="1" s="1"/>
  <c r="AO201" i="1"/>
  <c r="AP201" i="1" s="1"/>
  <c r="AO202" i="1"/>
  <c r="AP202" i="1" s="1"/>
  <c r="AO203" i="1"/>
  <c r="AP203" i="1" s="1"/>
  <c r="AO204" i="1"/>
  <c r="AP204" i="1" s="1"/>
  <c r="AO205" i="1"/>
  <c r="AP205" i="1" s="1"/>
  <c r="AO206" i="1"/>
  <c r="AP206" i="1" s="1"/>
  <c r="AO207" i="1"/>
  <c r="AP207" i="1" s="1"/>
  <c r="AO208" i="1"/>
  <c r="AP208" i="1" s="1"/>
  <c r="AO209" i="1"/>
  <c r="AP209" i="1" s="1"/>
  <c r="AO210" i="1"/>
  <c r="AP210" i="1" s="1"/>
  <c r="AO211" i="1"/>
  <c r="AP211" i="1" s="1"/>
  <c r="AO212" i="1"/>
  <c r="AP212" i="1" s="1"/>
  <c r="AO213" i="1"/>
  <c r="AP213" i="1" s="1"/>
  <c r="AO214" i="1"/>
  <c r="AP214" i="1" s="1"/>
  <c r="AO215" i="1"/>
  <c r="AP215" i="1" s="1"/>
  <c r="AO216" i="1"/>
  <c r="AP216" i="1" s="1"/>
  <c r="AO217" i="1"/>
  <c r="AP217" i="1" s="1"/>
  <c r="AO218" i="1"/>
  <c r="AP218" i="1" s="1"/>
  <c r="AO219" i="1"/>
  <c r="AP219" i="1" s="1"/>
  <c r="AO220" i="1"/>
  <c r="AP220" i="1" s="1"/>
  <c r="AO221" i="1"/>
  <c r="AP221" i="1" s="1"/>
  <c r="AO222" i="1"/>
  <c r="AP222" i="1" s="1"/>
  <c r="AO223" i="1"/>
  <c r="AP223" i="1" s="1"/>
  <c r="AO224" i="1"/>
  <c r="AP224" i="1" s="1"/>
  <c r="AO225" i="1"/>
  <c r="AP225" i="1" s="1"/>
  <c r="AO226" i="1"/>
  <c r="AP226" i="1" s="1"/>
  <c r="AO227" i="1"/>
  <c r="AP227" i="1" s="1"/>
  <c r="AO228" i="1"/>
  <c r="AP228" i="1" s="1"/>
  <c r="AO229" i="1"/>
  <c r="AP229" i="1" s="1"/>
  <c r="AO230" i="1"/>
  <c r="AP230" i="1" s="1"/>
  <c r="AO231" i="1"/>
  <c r="AP231" i="1" s="1"/>
  <c r="AO232" i="1"/>
  <c r="AP232" i="1" s="1"/>
  <c r="AO233" i="1"/>
  <c r="AP233" i="1" s="1"/>
  <c r="AO234" i="1"/>
  <c r="AP234" i="1" s="1"/>
  <c r="AO235" i="1"/>
  <c r="AP235" i="1" s="1"/>
  <c r="AO236" i="1"/>
  <c r="AP236" i="1" s="1"/>
  <c r="AO237" i="1"/>
  <c r="AP237" i="1" s="1"/>
  <c r="AO238" i="1"/>
  <c r="AP238" i="1" s="1"/>
  <c r="AO239" i="1"/>
  <c r="AP239" i="1" s="1"/>
  <c r="AO240" i="1"/>
  <c r="AP240" i="1" s="1"/>
  <c r="AO241" i="1"/>
  <c r="AP241" i="1" s="1"/>
  <c r="AO242" i="1"/>
  <c r="AP242" i="1" s="1"/>
  <c r="AO243" i="1"/>
  <c r="AP243" i="1" s="1"/>
  <c r="AO244" i="1"/>
  <c r="AP244" i="1" s="1"/>
  <c r="AO245" i="1"/>
  <c r="AP245" i="1" s="1"/>
  <c r="AO246" i="1"/>
  <c r="AP246" i="1" s="1"/>
  <c r="AO247" i="1"/>
  <c r="AP247" i="1" s="1"/>
  <c r="AO248" i="1"/>
  <c r="AP248" i="1" s="1"/>
  <c r="AO249" i="1"/>
  <c r="AP249" i="1" s="1"/>
  <c r="AO250" i="1"/>
  <c r="AP250" i="1" s="1"/>
  <c r="AO251" i="1"/>
  <c r="AP251" i="1" s="1"/>
  <c r="AO252" i="1"/>
  <c r="AP252" i="1" s="1"/>
  <c r="AO253" i="1"/>
  <c r="AP253" i="1" s="1"/>
  <c r="AO254" i="1"/>
  <c r="AP254" i="1" s="1"/>
  <c r="AO255" i="1"/>
  <c r="AP255" i="1" s="1"/>
  <c r="AO256" i="1"/>
  <c r="AP256" i="1" s="1"/>
  <c r="AO257" i="1"/>
  <c r="AP257" i="1" s="1"/>
  <c r="AO258" i="1"/>
  <c r="AP258" i="1" s="1"/>
  <c r="AO259" i="1"/>
  <c r="AP259" i="1" s="1"/>
  <c r="AO260" i="1"/>
  <c r="AP260" i="1" s="1"/>
  <c r="AO261" i="1"/>
  <c r="AP261" i="1" s="1"/>
  <c r="AO262" i="1"/>
  <c r="AP262" i="1" s="1"/>
  <c r="AO263" i="1"/>
  <c r="AP263" i="1" s="1"/>
  <c r="AO264" i="1"/>
  <c r="AP264" i="1" s="1"/>
  <c r="AO265" i="1"/>
  <c r="AP265" i="1" s="1"/>
  <c r="AO266" i="1"/>
  <c r="AP266" i="1" s="1"/>
  <c r="AO267" i="1"/>
  <c r="AP267" i="1" s="1"/>
  <c r="AO268" i="1"/>
  <c r="AP268" i="1" s="1"/>
  <c r="AO269" i="1"/>
  <c r="AP269" i="1" s="1"/>
  <c r="AO270" i="1"/>
  <c r="AP270" i="1" s="1"/>
  <c r="AO271" i="1"/>
  <c r="AP271" i="1" s="1"/>
  <c r="AO272" i="1"/>
  <c r="AP272" i="1" s="1"/>
  <c r="AO273" i="1"/>
  <c r="AP273" i="1" s="1"/>
  <c r="AO274" i="1"/>
  <c r="AP274" i="1" s="1"/>
  <c r="AO275" i="1"/>
  <c r="AP275" i="1" s="1"/>
  <c r="AO276" i="1"/>
  <c r="AP276" i="1" s="1"/>
  <c r="AO277" i="1"/>
  <c r="AP277" i="1" s="1"/>
  <c r="AO278" i="1"/>
  <c r="AP278" i="1" s="1"/>
  <c r="AO279" i="1"/>
  <c r="AP279" i="1" s="1"/>
  <c r="AO280" i="1"/>
  <c r="AP280" i="1" s="1"/>
  <c r="AO281" i="1"/>
  <c r="AP281" i="1" s="1"/>
  <c r="AO282" i="1"/>
  <c r="AP282" i="1" s="1"/>
  <c r="AO283" i="1"/>
  <c r="AP283" i="1" s="1"/>
  <c r="AO284" i="1"/>
  <c r="AP284" i="1" s="1"/>
  <c r="AO285" i="1"/>
  <c r="AP285" i="1" s="1"/>
  <c r="AO286" i="1"/>
  <c r="AP286" i="1" s="1"/>
  <c r="AO287" i="1"/>
  <c r="AP287" i="1" s="1"/>
  <c r="AO288" i="1"/>
  <c r="AP288" i="1" s="1"/>
  <c r="AO289" i="1"/>
  <c r="AP289" i="1" s="1"/>
  <c r="AO290" i="1"/>
  <c r="AP290" i="1" s="1"/>
  <c r="AO291" i="1"/>
  <c r="AP291" i="1" s="1"/>
  <c r="AO292" i="1"/>
  <c r="AP292" i="1" s="1"/>
  <c r="AP19" i="1"/>
  <c r="AP83" i="1"/>
  <c r="AP171" i="1"/>
  <c r="AQ40" i="1"/>
  <c r="AQ47" i="1"/>
  <c r="AQ50" i="1"/>
  <c r="AQ67" i="1"/>
  <c r="AQ91" i="1"/>
  <c r="AQ120" i="1"/>
  <c r="AQ160" i="1"/>
  <c r="AQ175" i="1"/>
  <c r="AQ178" i="1"/>
  <c r="AQ192" i="1"/>
  <c r="AQ211" i="1"/>
  <c r="AQ212" i="1"/>
  <c r="AQ224" i="1"/>
  <c r="AQ256" i="1"/>
  <c r="AQ288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C7" i="2" l="1"/>
  <c r="AM2" i="1" l="1"/>
  <c r="AQ2" i="1" s="1"/>
  <c r="AN2" i="1"/>
  <c r="AO2" i="1"/>
  <c r="AP2" i="1" s="1"/>
  <c r="AR2" i="1"/>
  <c r="AS2" i="1"/>
  <c r="U19" i="2" l="1"/>
  <c r="T19" i="2"/>
  <c r="S19" i="2"/>
  <c r="Q19" i="2"/>
  <c r="P19" i="2"/>
  <c r="O19" i="2"/>
  <c r="M19" i="2"/>
  <c r="L19" i="2"/>
  <c r="K19" i="2"/>
  <c r="I19" i="2"/>
  <c r="H19" i="2"/>
  <c r="G19" i="2"/>
  <c r="E19" i="2"/>
  <c r="D19" i="2"/>
  <c r="C19" i="2"/>
  <c r="C15" i="2"/>
  <c r="U15" i="2"/>
  <c r="T15" i="2"/>
  <c r="S15" i="2"/>
  <c r="Q15" i="2"/>
  <c r="P15" i="2"/>
  <c r="O15" i="2"/>
  <c r="M15" i="2"/>
  <c r="L15" i="2"/>
  <c r="K15" i="2"/>
  <c r="I15" i="2"/>
  <c r="H15" i="2"/>
  <c r="G15" i="2"/>
  <c r="E15" i="2"/>
  <c r="D15" i="2"/>
  <c r="J19" i="2" l="1"/>
  <c r="J15" i="2"/>
  <c r="F19" i="2"/>
  <c r="V15" i="2"/>
  <c r="R15" i="2"/>
  <c r="N15" i="2"/>
  <c r="F15" i="2"/>
  <c r="V19" i="2"/>
  <c r="R19" i="2"/>
  <c r="N19" i="2"/>
  <c r="U11" i="2" l="1"/>
  <c r="T11" i="2"/>
  <c r="S11" i="2"/>
  <c r="Q11" i="2"/>
  <c r="P11" i="2"/>
  <c r="O11" i="2"/>
  <c r="M11" i="2"/>
  <c r="L11" i="2"/>
  <c r="K11" i="2"/>
  <c r="I11" i="2"/>
  <c r="H11" i="2"/>
  <c r="G11" i="2"/>
  <c r="E11" i="2"/>
  <c r="D11" i="2"/>
  <c r="C11" i="2"/>
  <c r="N11" i="2" l="1"/>
  <c r="V11" i="2"/>
  <c r="R11" i="2"/>
  <c r="F11" i="2"/>
  <c r="J11" i="2"/>
  <c r="T7" i="2" l="1"/>
  <c r="U7" i="2"/>
  <c r="S7" i="2"/>
  <c r="P7" i="2"/>
  <c r="Q7" i="2"/>
  <c r="O7" i="2"/>
  <c r="L7" i="2"/>
  <c r="M7" i="2"/>
  <c r="K7" i="2"/>
  <c r="H7" i="2"/>
  <c r="I7" i="2"/>
  <c r="G7" i="2"/>
  <c r="D7" i="2"/>
  <c r="E7" i="2"/>
  <c r="F7" i="2" l="1"/>
  <c r="V7" i="2"/>
  <c r="N7" i="2"/>
  <c r="J7" i="2"/>
  <c r="R7" i="2"/>
  <c r="Z7" i="2"/>
</calcChain>
</file>

<file path=xl/sharedStrings.xml><?xml version="1.0" encoding="utf-8"?>
<sst xmlns="http://schemas.openxmlformats.org/spreadsheetml/2006/main" count="8594" uniqueCount="524">
  <si>
    <t>Triager</t>
  </si>
  <si>
    <t>OT Required</t>
  </si>
  <si>
    <t>Cancelled</t>
  </si>
  <si>
    <t>Priority-Level</t>
  </si>
  <si>
    <t>TimeReceived</t>
  </si>
  <si>
    <t>Side-by-Side</t>
  </si>
  <si>
    <t>Tracked-Clean</t>
  </si>
  <si>
    <t>Complete-Request</t>
  </si>
  <si>
    <t>Start Date</t>
  </si>
  <si>
    <t>Staging Date</t>
  </si>
  <si>
    <t>Actual Work</t>
  </si>
  <si>
    <t>Updated Pages</t>
  </si>
  <si>
    <t>New Pages</t>
  </si>
  <si>
    <t>Deleted Pages</t>
  </si>
  <si>
    <t>Supporting Files</t>
  </si>
  <si>
    <t>Deleted Supporting Files</t>
  </si>
  <si>
    <t>Missing Info</t>
  </si>
  <si>
    <t>Unclear Instruction</t>
  </si>
  <si>
    <t>Amendment-Client</t>
  </si>
  <si>
    <t>Amendment-QA</t>
  </si>
  <si>
    <t>Owner</t>
  </si>
  <si>
    <t>Subject</t>
  </si>
  <si>
    <t>Due Date</t>
  </si>
  <si>
    <t>Group</t>
  </si>
  <si>
    <t>Complexity</t>
  </si>
  <si>
    <t>Site/Property</t>
  </si>
  <si>
    <t>Request Number</t>
  </si>
  <si>
    <t>Type</t>
  </si>
  <si>
    <t>Mandatory-Posting-Date</t>
  </si>
  <si>
    <t>Intra</t>
  </si>
  <si>
    <t>Contacts</t>
  </si>
  <si>
    <t>Date Completed</t>
  </si>
  <si>
    <t>Month</t>
  </si>
  <si>
    <t># requests</t>
  </si>
  <si>
    <t xml:space="preserve">Inter </t>
  </si>
  <si>
    <t>News</t>
  </si>
  <si>
    <t>All</t>
  </si>
  <si>
    <t>Q1</t>
  </si>
  <si>
    <t>Q2</t>
  </si>
  <si>
    <t>Q3</t>
  </si>
  <si>
    <t>Q4</t>
  </si>
  <si>
    <t>SLA %</t>
  </si>
  <si>
    <t># New pages</t>
  </si>
  <si>
    <t># Updated pages</t>
  </si>
  <si>
    <t># Deleted pages</t>
  </si>
  <si>
    <t>NOTES:</t>
  </si>
  <si>
    <t>Fill data in green cells only</t>
  </si>
  <si>
    <t>This is a static table based on reported stats</t>
  </si>
  <si>
    <t>SLA (days)
Start date to staging date</t>
  </si>
  <si>
    <t xml:space="preserve">SLA (%)
Coding day vs complexity </t>
  </si>
  <si>
    <t>Date</t>
  </si>
  <si>
    <t>Holiday</t>
  </si>
  <si>
    <t>New Year's Day</t>
  </si>
  <si>
    <t>Good Friday</t>
  </si>
  <si>
    <t>Easter Monday</t>
  </si>
  <si>
    <t>Victoria Day</t>
  </si>
  <si>
    <t>Canada Day</t>
  </si>
  <si>
    <t>Civic Holiday</t>
  </si>
  <si>
    <t>Labour Day</t>
  </si>
  <si>
    <t>Thanksgiving Day</t>
  </si>
  <si>
    <t>Remembrance Day</t>
  </si>
  <si>
    <t>Christmas Day</t>
  </si>
  <si>
    <t>Boxing Day</t>
  </si>
  <si>
    <t>Created</t>
  </si>
  <si>
    <t>Meet SLA</t>
  </si>
  <si>
    <t>Staging to Live</t>
  </si>
  <si>
    <r>
      <t xml:space="preserve">You </t>
    </r>
    <r>
      <rPr>
        <b/>
        <sz val="11"/>
        <color theme="1"/>
        <rFont val="Calibri"/>
        <family val="2"/>
        <scheme val="minor"/>
      </rPr>
      <t>must</t>
    </r>
    <r>
      <rPr>
        <sz val="11"/>
        <color theme="1"/>
        <rFont val="Calibri"/>
        <family val="2"/>
        <scheme val="minor"/>
      </rPr>
      <t xml:space="preserve"> exclude "Side-Project" types from the pivot table (Meet SLA)</t>
    </r>
  </si>
  <si>
    <t>Coding days</t>
  </si>
  <si>
    <t>(All)</t>
  </si>
  <si>
    <t>Row Labels</t>
  </si>
  <si>
    <t>Grand Total</t>
  </si>
  <si>
    <t>TRUE</t>
  </si>
  <si>
    <t>SLA</t>
  </si>
  <si>
    <t>Coder SLA</t>
  </si>
  <si>
    <t>Triager missing info</t>
  </si>
  <si>
    <t>Missing info</t>
  </si>
  <si>
    <t>Triager unclear instruction</t>
  </si>
  <si>
    <t xml:space="preserve">Coding day vs complexity </t>
  </si>
  <si>
    <t>Amendment by Client</t>
  </si>
  <si>
    <t>Complete Request</t>
  </si>
  <si>
    <t>Tracked Clean</t>
  </si>
  <si>
    <t>staging date - start coding date COMPARE to complexity</t>
  </si>
  <si>
    <t>Bypass-QA</t>
  </si>
  <si>
    <t>Count of Subject</t>
  </si>
  <si>
    <t>Amendment by QA</t>
  </si>
  <si>
    <t>QA-by</t>
  </si>
  <si>
    <t>QA-date</t>
  </si>
  <si>
    <t>Total number of requests and pages QA</t>
  </si>
  <si>
    <t>Flagged-Issues</t>
  </si>
  <si>
    <t>Sum of Updated Pages</t>
  </si>
  <si>
    <t>Sum of New Pages</t>
  </si>
  <si>
    <t>Sum of Deleted Pages</t>
  </si>
  <si>
    <t>Flagged Issues</t>
  </si>
  <si>
    <t>Count of tasks</t>
  </si>
  <si>
    <t>QA By</t>
  </si>
  <si>
    <t xml:space="preserve">QA By </t>
  </si>
  <si>
    <t>Section</t>
  </si>
  <si>
    <t>Count of Request Number</t>
  </si>
  <si>
    <t>Column Labels</t>
  </si>
  <si>
    <t>National Day for Truth and Reconciliation</t>
  </si>
  <si>
    <t>Sum of Flagged-Issues (# of URLs)</t>
  </si>
  <si>
    <t>Flagged issues # of tasks</t>
  </si>
  <si>
    <t>Count of Flagged issues # of tasks</t>
  </si>
  <si>
    <t>Number of requests</t>
  </si>
  <si>
    <t>Inter</t>
  </si>
  <si>
    <t xml:space="preserve">Last Minute </t>
  </si>
  <si>
    <t>(blank)</t>
  </si>
  <si>
    <t>Last minute requests</t>
  </si>
  <si>
    <t xml:space="preserve">News </t>
  </si>
  <si>
    <t>April 2025</t>
  </si>
  <si>
    <t>May 2025</t>
  </si>
  <si>
    <t>June 2025</t>
  </si>
  <si>
    <t>July 2025</t>
  </si>
  <si>
    <t>August 2025</t>
  </si>
  <si>
    <t>September 2025</t>
  </si>
  <si>
    <t>October 2025</t>
  </si>
  <si>
    <t>November 2025</t>
  </si>
  <si>
    <t>December 2025</t>
  </si>
  <si>
    <t>January 2026</t>
  </si>
  <si>
    <t>February 2026</t>
  </si>
  <si>
    <t>March 2026</t>
  </si>
  <si>
    <t>High</t>
  </si>
  <si>
    <t>Regular</t>
  </si>
  <si>
    <t>Provost, Stephane (IRCC/IRCC)</t>
  </si>
  <si>
    <t>Other</t>
  </si>
  <si>
    <t xml:space="preserve"> P 1 - April 29, ASAP – Form Catalogue update - CIT 0004 B (04-2025) </t>
  </si>
  <si>
    <t>Linh To</t>
  </si>
  <si>
    <t>Bui.MinhThuy</t>
  </si>
  <si>
    <t>Update</t>
  </si>
  <si>
    <t>15 minutes</t>
  </si>
  <si>
    <t>None</t>
  </si>
  <si>
    <t>No</t>
  </si>
  <si>
    <t>Yes</t>
  </si>
  <si>
    <t>Santos.Aloisa</t>
  </si>
  <si>
    <t>Internet Advisors</t>
  </si>
  <si>
    <t>(April 22) Change my address - add page feedback tool</t>
  </si>
  <si>
    <t>To, Linh (IRCC/IRCC)</t>
  </si>
  <si>
    <t>5 minutes</t>
  </si>
  <si>
    <t>Flores, Grisel (IRCC/IRCC)</t>
  </si>
  <si>
    <t>Internal Comms</t>
  </si>
  <si>
    <t>[urgent request] Hide  all banners on Apr 23 and only have the Administrative Professionals Day live</t>
  </si>
  <si>
    <t>30 minutes</t>
  </si>
  <si>
    <t>[urgent request] P1 - CX Request: home page banner addition to go live tomorrow Apr 23 and removal on Apr 24</t>
  </si>
  <si>
    <t>10 minutes</t>
  </si>
  <si>
    <t xml:space="preserve">[urgent request] P1 - Today, April 22 at 2:30 pm ET - T@ article - Administrative professionals day </t>
  </si>
  <si>
    <t>Bak, Jeongmee (IRCC/IRCC)</t>
  </si>
  <si>
    <t xml:space="preserve">Patricia Danochristos </t>
  </si>
  <si>
    <t>Apr</t>
  </si>
  <si>
    <t>Parallel</t>
  </si>
  <si>
    <t>Change-Release Management / Gestion de mises en production (IRCC)</t>
  </si>
  <si>
    <t>Connexion: Scheduled IT Outages for IT Outages Calendar for April 10, 2025</t>
  </si>
  <si>
    <t>Kaur, Preetinder (IRCC/IRCC)</t>
  </si>
  <si>
    <t>Connexion: Scheduled IT Outages for IT Outages Calendar for April 14, 2025</t>
  </si>
  <si>
    <t>Cynthia Essiambre</t>
  </si>
  <si>
    <t>Normal</t>
  </si>
  <si>
    <t>Connexion: Scheduled IT Outages for IT Outages Calendar for April 16, 2025</t>
  </si>
  <si>
    <t>Connexion: Scheduled IT Outages for IT Outages Calendar for April 17, 2025</t>
  </si>
  <si>
    <t>Kumar.Aman</t>
  </si>
  <si>
    <t>1 hour</t>
  </si>
  <si>
    <t>Connexion: Scheduled IT Outages for IT Outages Calendar for April 2, 2025</t>
  </si>
  <si>
    <t>40 minutes</t>
  </si>
  <si>
    <t>Connexion: Scheduled IT Outages for IT Outages Calendar for April 22, 2025</t>
  </si>
  <si>
    <t>20 minutes</t>
  </si>
  <si>
    <t>Connexion: Scheduled IT Outages for IT Outages Calendar for April 23, 2025</t>
  </si>
  <si>
    <t>Maninder pal Kaur</t>
  </si>
  <si>
    <t>Connexion: Scheduled IT Outages for IT Outages Calendar for April 24, 2025</t>
  </si>
  <si>
    <t>Connexion: Scheduled IT Outages for IT Outages Calendar for April 25, 2025</t>
  </si>
  <si>
    <t>Acevedo, Isabel (IRCC/IRCC)</t>
  </si>
  <si>
    <t>Connexion: Scheduled IT Outages for IT Outages Calendar for April 3, 2025</t>
  </si>
  <si>
    <t>Connexion: Scheduled IT Outages for IT Outages Calendar for April 7, 2025</t>
  </si>
  <si>
    <t>Connexion: Scheduled IT Outages for IT Outages Calendar for April 8, 2025</t>
  </si>
  <si>
    <t>Connexion: Scheduled IT Outages for IT Outages Calendar for April 9, 2025</t>
  </si>
  <si>
    <t>Isaacs, Meaghan (IRCC/IRCC)</t>
  </si>
  <si>
    <t>Intranet Advisors</t>
  </si>
  <si>
    <t>CX Request - P2 - April 16 - recode of existing public opinion research page, redirects, deletion</t>
  </si>
  <si>
    <t>3.5 hours</t>
  </si>
  <si>
    <t>CX Request - P2 - April 30 - Recode of existing evacuation page, deletion of a page</t>
  </si>
  <si>
    <t>3 hours</t>
  </si>
  <si>
    <t>CX Request - P2 - Crawl of select emergencies pages</t>
  </si>
  <si>
    <t>Info Request</t>
  </si>
  <si>
    <t>Younes, Samer (IRCC/IRCC)</t>
  </si>
  <si>
    <t>CX Request: home page banner  removal – P1 – Go live on April 16</t>
  </si>
  <si>
    <t>CX Request: home page banner addition and removal – P1 – Go live on April 7</t>
  </si>
  <si>
    <t>El-Arab, Danna (IRCC/IRCC)</t>
  </si>
  <si>
    <t>For posting (P1, asap today): HCWIP cap update and alert</t>
  </si>
  <si>
    <t>For posting (P1, tmrw): HCWIP - French fixes and add link</t>
  </si>
  <si>
    <t>For posting (P1, today): HCWIP - almost full OR all caps full updates</t>
  </si>
  <si>
    <t>2 hours</t>
  </si>
  <si>
    <t>For posting (P1, today): HCWIP - Home support alternate format caps - clarification</t>
  </si>
  <si>
    <t>1.5 hours</t>
  </si>
  <si>
    <t>Essiambre, Cynthia (IRCC/IRCC) (she, her | elle, la)</t>
  </si>
  <si>
    <t>Web Ops</t>
  </si>
  <si>
    <t>FW: Notice: Upcoming Scheduled Outage - IRCC Portal - New Version System Unavailable // Avis : Interruption planifiée à venir - Portail d’IRCC - Nouvelle version du système non disponible</t>
  </si>
  <si>
    <t>Foulkes, Amy (IRCC/IRCC) (she, her, hers | elle, la, lui)</t>
  </si>
  <si>
    <t>Heads up for a rushed P1 request to be published in the morning on April 1</t>
  </si>
  <si>
    <t>Heads-up (P1, tmrw morning): HCWIP - Caps full update</t>
  </si>
  <si>
    <t>Parris.Jurell</t>
  </si>
  <si>
    <t>High SLA/high priority CX request - live by COB Apr 2</t>
  </si>
  <si>
    <t>Umutesi, Viviane (IRCC/IRCC)</t>
  </si>
  <si>
    <t>List of web pages referencing some HC questions</t>
  </si>
  <si>
    <t>Gauthier-Marinier, Martine (IRCC/IRCC)</t>
  </si>
  <si>
    <t>P 2 - (2025-04-03) – Forms Catalogue update - ADM 0308, 0309, 0310, 0311 (03-2025)</t>
  </si>
  <si>
    <t>P 2 - (2025-04-03) – Forms Catalogue update - IMM5555 E&amp;F (01-2025)</t>
  </si>
  <si>
    <t>Patricia Danochristos</t>
  </si>
  <si>
    <t>P 2 - (2025-04-15) – Forms Catalogue update - IMM 0193 E&amp;F (02-2025)</t>
  </si>
  <si>
    <t>P 2 - (2025-04-25) – Forms Catalogue update - IMM 0270F</t>
  </si>
  <si>
    <t>Danochristos, Patricia (IRCC/IRCC) (she, her | elle, la)</t>
  </si>
  <si>
    <t>Files Upload</t>
  </si>
  <si>
    <t>P 2 - (2025-05-05) – Forms Catalogue update - IMM 5476 (05-2025)</t>
  </si>
  <si>
    <t xml:space="preserve">P 2 - Go Live morning of April 30  - replacing a departing DG's name on Connexion </t>
  </si>
  <si>
    <t>Arthur, Michael (IRCC/IRCC) (he, him | il, lui)</t>
  </si>
  <si>
    <t>Cit</t>
  </si>
  <si>
    <t>P1 - (COB) - Citizenship - removing reaffirmation certificate</t>
  </si>
  <si>
    <t>EFSI PDI Publish / IEFS IEP Publier (IRCC)</t>
  </si>
  <si>
    <t>P1 - Apr 25, 4pm - S62 - Applicants under an unenforceable removal order</t>
  </si>
  <si>
    <t>Hayes, Dustin (IRCC/IRCC)</t>
  </si>
  <si>
    <t xml:space="preserve">P1 - April 1 - Connexion: Update ATIP coordinator contact information </t>
  </si>
  <si>
    <t>Maubant.Emilien</t>
  </si>
  <si>
    <t>P1 - April 1 - Visit - Visitor Visa small language clarification</t>
  </si>
  <si>
    <t xml:space="preserve">P1 - April 10 ASAP - Update non-compliant employers list – status update (correction) </t>
  </si>
  <si>
    <t>Rustandjaja, Nadya (IRCC/IRCC)</t>
  </si>
  <si>
    <t xml:space="preserve">P1 - April 14 - Update non-compliant employers list – New employers and status correction </t>
  </si>
  <si>
    <t>P1 - April 14 - Visit - Afghanistan measures - Notebox</t>
  </si>
  <si>
    <t>Nair, Ajay (IRCC/IRCC) (he, him | il, lui)</t>
  </si>
  <si>
    <t>P1 - April 14, 4pm - CX: Add the latest link for R33.03 Release Notes on Connexion + Update the Release date for the GCMS R34.00 on Connexion</t>
  </si>
  <si>
    <t xml:space="preserve">P1 - April 15 at 9:30 a.m. - T@ Message -Realignment callout </t>
  </si>
  <si>
    <t>PR</t>
  </si>
  <si>
    <t>P1 - April 15th - Adding Feedback tool on PRTD pages</t>
  </si>
  <si>
    <t>25 minutes</t>
  </si>
  <si>
    <t xml:space="preserve">P1 - April 16 - Update non-compliant employers list – Employers status correction </t>
  </si>
  <si>
    <t>Special Events / Evenements Speciaux (IRCC)</t>
  </si>
  <si>
    <t>Special Events</t>
  </si>
  <si>
    <t>P1 - April 16, 10am - 25ACMH</t>
  </si>
  <si>
    <t>Angulo, Beatrice (IRCC/IRCC)</t>
  </si>
  <si>
    <t>P1 - April 17 - Designated Learning Institution (DLI) Urgent de-designation + Update</t>
  </si>
  <si>
    <t>P1 - April 1st - Updating titles for IMM 0268 and 5669</t>
  </si>
  <si>
    <t>COMM Connexion Jobs / Emplois Connexion COMM (IRCC)</t>
  </si>
  <si>
    <t>P1 - April 22, 4pm - Connexion Jobs Removal</t>
  </si>
  <si>
    <t xml:space="preserve">P1 - April 23- Update non-compliant employers list – Employers status correction </t>
  </si>
  <si>
    <t>P1 - April 28 - DLI List - April 22 Weekly update</t>
  </si>
  <si>
    <t>P1 - April 28th - Updating Guide 5523</t>
  </si>
  <si>
    <t>5 hours</t>
  </si>
  <si>
    <t xml:space="preserve">P1 - April 29 at 4:00 p.m. - T@ Message -Realignment callout </t>
  </si>
  <si>
    <t>P1 - April 3 - Fix wrong link on SP topic page</t>
  </si>
  <si>
    <t>P1 - April 3 - Study - PAL TAL Quick fix (header)</t>
  </si>
  <si>
    <t>P1 - April 3 - Update non-compliant employers list – new employers</t>
  </si>
  <si>
    <t>O'Brien, Erin (IRCC/IRCC)</t>
  </si>
  <si>
    <t>P1 - April 3, 12pm- CX minor update: FR Org chart page</t>
  </si>
  <si>
    <t>P1 - April 3, 9am - CX-update: ADM Bio</t>
  </si>
  <si>
    <t>Pal Kaur, Maninder (IRCC/IRCC)</t>
  </si>
  <si>
    <t>P1 - April 30 - Designated Learning Institution (DLI) List Urgent de-designation - Eastern Academy</t>
  </si>
  <si>
    <t>Settlement</t>
  </si>
  <si>
    <t>P1 - April 30 - Settlement - remove outdated alert on funding page</t>
  </si>
  <si>
    <t>MacDougall, William (IRCC/IRCC)</t>
  </si>
  <si>
    <t>P1 - April 30 - Sudan TPP label changes</t>
  </si>
  <si>
    <t>Crisis</t>
  </si>
  <si>
    <t>P1 - April 3rd - Adding Home Care Workers pilots to Guides index page</t>
  </si>
  <si>
    <t>Tang, Jenny (IRCC/IRCC)</t>
  </si>
  <si>
    <t>P1 - April 4 - Fix mailto: and add space</t>
  </si>
  <si>
    <t>P1 - April 4 - Sudan PSR H2A updates</t>
  </si>
  <si>
    <t>P1 - April 4, 3pm - CX update and page deletions: Org changes</t>
  </si>
  <si>
    <t>45 minutes</t>
  </si>
  <si>
    <t xml:space="preserve">P1 - April 4th - Adding one paragraph in Guide 0497 FR </t>
  </si>
  <si>
    <t>MacDougall.Colin</t>
  </si>
  <si>
    <t>P1 - April 7 - Passport locations list update - Whitby PPT office closed, Oshawa &amp; Ajax offering 10 day service</t>
  </si>
  <si>
    <t>P1 - April 7 - Update non-compliant employers list – new employer</t>
  </si>
  <si>
    <t>P1 - April 7th - Updating a link</t>
  </si>
  <si>
    <t>P1 - April 8 -  DLI List update - Advantage English School</t>
  </si>
  <si>
    <t>P1 - April 8 - Update non-compliant employers list – status updates</t>
  </si>
  <si>
    <t>P1 - April 8 at 4:00 p.m. - T@ Message -Data Ethics event</t>
  </si>
  <si>
    <t>15 minut</t>
  </si>
  <si>
    <t xml:space="preserve">P1 - April 9 - Update non-compliant employers list – status update </t>
  </si>
  <si>
    <t>P1 - April 9, 4pm - CX: Blue Alert Removal - Visas Page</t>
  </si>
  <si>
    <t>Evseev, Egor (IRCC/IRCC)</t>
  </si>
  <si>
    <t>Asylum</t>
  </si>
  <si>
    <t>P1 - ASAP - Asylum Stats</t>
  </si>
  <si>
    <t>P1 - ASAP - Sudan alert update</t>
  </si>
  <si>
    <t>P1 - ASAP April 17 - Urgent DLI List De-designation - Canadian National Institute of Business</t>
  </si>
  <si>
    <t>P1 - ASAP today - tiny correction of 2 numbers</t>
  </si>
  <si>
    <t>Carriere.Nicholas</t>
  </si>
  <si>
    <t>P1 - Due COB April 10 - TRP for Minors in state care clarification</t>
  </si>
  <si>
    <t>P1 - Due COB April 7 - Mexico police certificate clarification</t>
  </si>
  <si>
    <t>P1 - DUE COB Thursday April 10 - ARC clarification to apply online</t>
  </si>
  <si>
    <t>P1 - live asap - republish pages w/include caching issues</t>
  </si>
  <si>
    <t>P1 - March 10 - Update non-compliant employers list- add new employers</t>
  </si>
  <si>
    <t>Mar</t>
  </si>
  <si>
    <t>P1 - March 10 (very quick) - Study - Changing schools - New update</t>
  </si>
  <si>
    <t>P1 - March 17 - Update non-compliant employers list - add new employers</t>
  </si>
  <si>
    <t>Jeongmee Bak</t>
  </si>
  <si>
    <t>Intra/Inter</t>
  </si>
  <si>
    <t>COMM PDI Web / IEP Web COMM (IRCC)</t>
  </si>
  <si>
    <t>P1 - March 21 - PUB-00231-WHIP-IMP-Open work permits for Start-Up Visa (SUV) permanent residence applicants and updated instructions for SUV [FRENCH]</t>
  </si>
  <si>
    <t>1 day</t>
  </si>
  <si>
    <t>P1 - March 25 - 2025-027 - RPCD to RPID - Asylum</t>
  </si>
  <si>
    <t>OT</t>
  </si>
  <si>
    <t>Blanchard.Jessica (she, her | elle, la)</t>
  </si>
  <si>
    <t>P1 - March 28 - Connexion update - About IRCC - Research and Data - Find and replace email address</t>
  </si>
  <si>
    <t>Boileau, Julie (IRCC/IRCC) (she, her | elle, la)</t>
  </si>
  <si>
    <t>P1 - March 31 - Restoration info for out-of-status homecare workers under HCWIP 2025</t>
  </si>
  <si>
    <t>P1 - March 31st - Minor updates to CIT 0003</t>
  </si>
  <si>
    <t>P1 - March 31st - Updating 4 guides due to citizenship fees increase</t>
  </si>
  <si>
    <t>Dransfield, Tracy (IRCC/IRCC)</t>
  </si>
  <si>
    <t>P1 - May 2 - English on French page</t>
  </si>
  <si>
    <t>3 minutes</t>
  </si>
  <si>
    <t>P1 - Staged March 21 - DLI List weekly updates - March 17</t>
  </si>
  <si>
    <t>P1 - Today - Passport locations list update - Oshawa SCC</t>
  </si>
  <si>
    <t xml:space="preserve">P1 - Today COB - Passport locations list update - removing Dalhousie SCC </t>
  </si>
  <si>
    <t>P1 - Upcoming scheduled outage - April 11</t>
  </si>
  <si>
    <t>P1 - Upcoming scheduled outage - April 25</t>
  </si>
  <si>
    <t xml:space="preserve">P1 - Upcoming scheduled outage - IRCC portal </t>
  </si>
  <si>
    <t>P1 - Upcoming scheduled outage - today</t>
  </si>
  <si>
    <t xml:space="preserve">P1 (Apr 1): Fees outage Feb 11 </t>
  </si>
  <si>
    <t>P1 (April 1 8am) Settlement - SPO list data upload</t>
  </si>
  <si>
    <t>P1 April 30 - Update non-compliant employers list</t>
  </si>
  <si>
    <t>Mueller, Sean (IRCC/IRCC) (Any pronoun | N'importe quel pronom)</t>
  </si>
  <si>
    <t xml:space="preserve">P1 -Live today - IEC Weekly numbers </t>
  </si>
  <si>
    <t>Degouffe, Jacqueline (IRCC/IRCC) (she, her | elle, la)</t>
  </si>
  <si>
    <t>P1- Removal of outage message- IRCC Portal New Version</t>
  </si>
  <si>
    <t>0 hours</t>
  </si>
  <si>
    <t xml:space="preserve">P1 urgent due Apr 11 - Add "2025 full" label to Home Care Worker Immigration pilot </t>
  </si>
  <si>
    <t>Wong, John-Gee (IRCC/IRCC) (he, him | il, lui)</t>
  </si>
  <si>
    <t xml:space="preserve">P1 web request - April 29 - end of Job Bank for Ukrainians </t>
  </si>
  <si>
    <t xml:space="preserve">P1: (by noon on April 3) - minor correction </t>
  </si>
  <si>
    <t>Lawson, Kayla (IRCC/IRCC) (she, her | elle, la)</t>
  </si>
  <si>
    <t xml:space="preserve">P1: ASAP Edits to Today@IRCC on telework </t>
  </si>
  <si>
    <t>P1: Today@ edit - Protecting Democracy</t>
  </si>
  <si>
    <t>P1: Urgent - ASAP - Make change to homepage of CX</t>
  </si>
  <si>
    <t>Stevenson, Holly (IRCC/IRCC)</t>
  </si>
  <si>
    <t>P1-10 am Tuesday-Kings medals banner</t>
  </si>
  <si>
    <t>P1-9am tuesday-HR awards</t>
  </si>
  <si>
    <t>Chang.Jennifer</t>
  </si>
  <si>
    <t>P1-April 11-2 pm</t>
  </si>
  <si>
    <t>P1-April 16, 2pm- CX Budget page update + new data on impacted employees page</t>
  </si>
  <si>
    <t xml:space="preserve">P1-April 2, EOD- CX update: Budget page </t>
  </si>
  <si>
    <t>P1-April 8 -Kings Medal</t>
  </si>
  <si>
    <t>P1-Friday Mar 27 3 pm-Meet your ombuds</t>
  </si>
  <si>
    <t>P1-March 13 3 pm-Meet and  Mingle with Manda</t>
  </si>
  <si>
    <t>P2 - (Apr 14) - Scan for iran include and remove from some pages</t>
  </si>
  <si>
    <t>Fortier, Jacqueline (IRCC/IRCC)</t>
  </si>
  <si>
    <t>P2 - (April 2, 2025) - Update Connexion FIN 0078</t>
  </si>
  <si>
    <t>P2 - (April 2, 2025) - Update Connexion IMM 0168</t>
  </si>
  <si>
    <t>P2 - (April 8, 2025) - Update Connexion ADM 0191</t>
  </si>
  <si>
    <t>P2 - Apr 17? - OT visa tool - Niger</t>
  </si>
  <si>
    <t>P2 - Apr 28 - SUV org name update</t>
  </si>
  <si>
    <t>P2 - April 1  – Form Catalogue update - ADM 0069 E&amp;F (03-2025)</t>
  </si>
  <si>
    <t>P2 - April 1 COB - 2025-032 - Urgent - Citizenship Interim Measure</t>
  </si>
  <si>
    <t>P2 - April 10 - PUB-00275-SPEC-ECON-Application for authorization to become a permanent resident under A25, R307 and R66</t>
  </si>
  <si>
    <t>Rozon-Richer, Malika (IRCC/IRCC) (elle, la | she, her)</t>
  </si>
  <si>
    <t>P2 - April 10, 2025 - Page update - Policy on IT Security</t>
  </si>
  <si>
    <t>P2 - April 11 - HK OWP - Remove broken link</t>
  </si>
  <si>
    <t>COMM Passage / Passage COMM (IRCC)</t>
  </si>
  <si>
    <t>P2 - April 11 - Passage - Passport Service Standards - March 2025</t>
  </si>
  <si>
    <t>P2 - April 11 - Upload PCIL PDF</t>
  </si>
  <si>
    <t>P2 - April 11, 2025 - Page update - Policy on IT Security</t>
  </si>
  <si>
    <t>P2 - April 11, 4pm  - CX: Updates to World Map with Missions</t>
  </si>
  <si>
    <t>P2 - April 11, 4pm - CX: CX-Update Cost Management Models dates and documents</t>
  </si>
  <si>
    <t>P2 - April 14 - Connexion: Update IT megamenu</t>
  </si>
  <si>
    <t>P2 - April 14, 4pm - CX: Career fair page web update</t>
  </si>
  <si>
    <t>P2 - April 14, 4pm - CX: CX-Update Procedure on Spending Authority G&amp;Cs</t>
  </si>
  <si>
    <t>P2 - April 14, 4pm - CX: Modify ZZJV procedure on Connexion</t>
  </si>
  <si>
    <t>P2 - April 15 - 10 am ET - Edits to the article: Tools to support workforce mobility</t>
  </si>
  <si>
    <t>P2 - April 15 - 2025-030 - Centralized Concurrent Processing (CCP) pilot in Canada (internal only)</t>
  </si>
  <si>
    <t>2.5 hours</t>
  </si>
  <si>
    <t>P2 - April 15, 2pm - 25ICCI</t>
  </si>
  <si>
    <t>TR</t>
  </si>
  <si>
    <t>P2 - April 16 - PUB-00232-TRIS-ISP-Study permits Off campus work PDI Update</t>
  </si>
  <si>
    <t>P2 - April 17  – Form Catalogue update - IMM 5707 E&amp;F (01-2023)</t>
  </si>
  <si>
    <t>P2 - April 17 - Connexion: Update IT megamenu</t>
  </si>
  <si>
    <t>Gores, Kelsey (IRCC/IRCC)</t>
  </si>
  <si>
    <t>P2 - April 17, COB - T@ Celebrating 50 years with IRCC!</t>
  </si>
  <si>
    <t>P2 - April 18  – Form Catalogue update - ADM 0049 E&amp;F (04-2025)</t>
  </si>
  <si>
    <t>P2 - April 18, 4pm - CX: Assistance with Connexion Page Updates-PDN</t>
  </si>
  <si>
    <t>P2 - April 22, 2025 - PUB-00246-WALOA-Study permits-Scholarship and award recipients</t>
  </si>
  <si>
    <t>P2 - April 23, 4pm - CX: AddingQ4 Printer Ratio updates to our SD webpage</t>
  </si>
  <si>
    <t>P2 - April 24 - 2025-025 - PRRA remote hearing</t>
  </si>
  <si>
    <t>P2 - April 24 - Connexion: How to order a mobile device</t>
  </si>
  <si>
    <t>P2 - April 24 - RE: "Inquiry form: Connexion update" submission received</t>
  </si>
  <si>
    <t>P2 - April 24th - Page updates - Organization Sectors and branches</t>
  </si>
  <si>
    <t>P2 - April 25, 2pm - 25VCTM</t>
  </si>
  <si>
    <t>MacDougall.J.Colin</t>
  </si>
  <si>
    <t>P2 - April 25? - Official travel - clarification on proper use</t>
  </si>
  <si>
    <t>P2 - April 28 - Add page feedback tool to 1 FR page</t>
  </si>
  <si>
    <t>2 minutes</t>
  </si>
  <si>
    <t>P2 - April 30 - ECA link updates</t>
  </si>
  <si>
    <t>P2 - April 4, 4pm - CX: Archive/remove course pages</t>
  </si>
  <si>
    <t>P2 - April 4, 4pm - CX: Assistance with Connexion Page Updates-PDN</t>
  </si>
  <si>
    <t>P2 - April 6 - RFCIP community list link updates</t>
  </si>
  <si>
    <t>P2 - April 8 - add feedback widget to RFCIP landing page</t>
  </si>
  <si>
    <t>P2 - April 8, 2025 - Page updates - Financial systems, user guides and forms</t>
  </si>
  <si>
    <t>P2 – April 8, 8 am - T@ Cross-cultural training across Sub-Saharan Africa</t>
  </si>
  <si>
    <t>P2 - April 8, COB- CX highlight box change</t>
  </si>
  <si>
    <t>P2 - April 9 - Connexion: update to Fleet management</t>
  </si>
  <si>
    <t>P2 - Due COB April 2 - replace graph on levels page</t>
  </si>
  <si>
    <t>P2 - Due COB April 4 - Adding link to AI tool independent review</t>
  </si>
  <si>
    <t>P2 - Due COB Jan. 23 - PNP processing times</t>
  </si>
  <si>
    <t>Jan</t>
  </si>
  <si>
    <t>P2 - Feb 14, 4pm - CX: Updating page on connexion</t>
  </si>
  <si>
    <t>P2 - Find out if you need a Visa tool (simple edits) - Add Transit - Staged by COB</t>
  </si>
  <si>
    <t>P2 - Jan 30, 4pm - CX: Updating Passports and visas Connexion page</t>
  </si>
  <si>
    <t>P2 - January 22 - 2025-003 - IL 3 - Designation of Officers and Delegation of Authority</t>
  </si>
  <si>
    <t>P2 - Legal Q&amp;A - April 22</t>
  </si>
  <si>
    <t xml:space="preserve">P2 - March 28 - 2025-015 - Updates to Authorization to Return to Canada PDI </t>
  </si>
  <si>
    <t>P2 - March 31 - Connexion: Email best practices and purge update</t>
  </si>
  <si>
    <t xml:space="preserve">P2 - March 31 - Connexion: update </t>
  </si>
  <si>
    <t>P2 - March 31 - Connexion: Update 325 Milner hours</t>
  </si>
  <si>
    <t>P2 - March 31, 4pm - CX: Remove - Order passport program stationery (forms, labels, posters and file folders)</t>
  </si>
  <si>
    <t>P2 - March 31, 4pm - CX: Updates to course pages in Connexion</t>
  </si>
  <si>
    <t>P2 - March 6th - Updating instructions for IMM 1344</t>
  </si>
  <si>
    <t>P2 - May 1, 4pm - CX: Changing text on VAC page</t>
  </si>
  <si>
    <t>P2 - May 1, 4pm - CX: CX-Update Acquisition Card Procedure and Orientation Tool</t>
  </si>
  <si>
    <t>P2 - May 5, 2pm - 25LLSI</t>
  </si>
  <si>
    <t>P2 - Quick - Link update - IEC - Czech Republic - Staged March 28</t>
  </si>
  <si>
    <t>P2 - Staged April 3 - Minor work page update - Remove mention of "new"</t>
  </si>
  <si>
    <t>P2 - TR broken links - April 25</t>
  </si>
  <si>
    <t>P2 (2025-04-03) – Form Catalogue update - IMM 5644 E&amp;F (12-2024)</t>
  </si>
  <si>
    <t>P2 (Apr 9): fees outage Apr 8 - remove note</t>
  </si>
  <si>
    <t>P2 Apr 15 - Fix Beirut VAC typo</t>
  </si>
  <si>
    <t xml:space="preserve">P2 April 17 2025 IMM 2048 </t>
  </si>
  <si>
    <t>P2- April 22, 10am- Event to be updated</t>
  </si>
  <si>
    <t xml:space="preserve">P2- April 22, 3pm- Event page to be updated </t>
  </si>
  <si>
    <t>P2- April 8, 12pm- Events to be posted 1/2</t>
  </si>
  <si>
    <t>0.5 days</t>
  </si>
  <si>
    <t>P2- April 8, 12pm- Events to be posted 2/2</t>
  </si>
  <si>
    <t>P2- April 8, 4pm- Events to be posted 2/2</t>
  </si>
  <si>
    <t>P2- April 9, 4pm- Event page to be updated</t>
  </si>
  <si>
    <t xml:space="preserve">P2- April 9, 4pm- Event page to be updated </t>
  </si>
  <si>
    <t>8 minutes</t>
  </si>
  <si>
    <t>P2- March 24, 12pm- Events to be updated</t>
  </si>
  <si>
    <t>P2- May 30, 1pm- 2025 Canada Cup of Diving</t>
  </si>
  <si>
    <t>P2- May 30, 4pm- Symposium International Des Femmes Afroentrepreneures-Sifa</t>
  </si>
  <si>
    <t>P2-April 8, 4pm- Events to be posted 1/2</t>
  </si>
  <si>
    <t>4.5 hours</t>
  </si>
  <si>
    <t>P2-March 26 noon-Myth or fact: To idle or not to idle?</t>
  </si>
  <si>
    <t>P3 - April 10?  - Passport locations list update - Ajax/Oshawa --&gt; PPT offices</t>
  </si>
  <si>
    <t>P3 - April 11, 4pm  - CX: PO Boxes</t>
  </si>
  <si>
    <t xml:space="preserve">P3 - April 11th - Removing Top Banner from 88 Immigration Matters pages </t>
  </si>
  <si>
    <t>P3 - April 17 - Connexion update - Interpreter's List - April 9 2025</t>
  </si>
  <si>
    <t>P3 - April 18, 4pm - CX: Add link to new document</t>
  </si>
  <si>
    <t>P3 - April 18, 4pm - CX: CX-Incoming Official Visit</t>
  </si>
  <si>
    <t>P3 - April 18, 4pm - CX: Update links</t>
  </si>
  <si>
    <t>P3 - April 21, 4pm - CX: VAC # Update</t>
  </si>
  <si>
    <t>P3 - April 25, 4pm - Crawl Request Migration URLs from PWGSC</t>
  </si>
  <si>
    <t>P3 - April 4 - PDI misc - PDU template file replace</t>
  </si>
  <si>
    <t xml:space="preserve">P3 - April 4? - Passport forms update </t>
  </si>
  <si>
    <t>Habib, Minas (IRCC/IRCC)</t>
  </si>
  <si>
    <t>P3 - April 4th 2025 - Champion Shuffle</t>
  </si>
  <si>
    <t>P3 - Image update - Luxembourg - QUICK</t>
  </si>
  <si>
    <t>Backburner</t>
  </si>
  <si>
    <t>Bedard, Karine (IRCC/IRCC) (she, her | elle, la)</t>
  </si>
  <si>
    <t>P3 - Maintenance, remove horizontal scroll on outage message - No due date</t>
  </si>
  <si>
    <t>Michaud, Gabrielle (IRCC/IRCC) (she, her, hers | elle, la)</t>
  </si>
  <si>
    <t>P3 - March 10 - Remove PFT from Contact Us pages</t>
  </si>
  <si>
    <t xml:space="preserve">P3 - March 17, 4pm - CX: Minor updates to the Sensitive information – Departmental security and Government of Canada Secret Infrastructure pages </t>
  </si>
  <si>
    <t xml:space="preserve">P3 - March 21? - Statutory declaration in lieu of guarantor for RTD/CofIs </t>
  </si>
  <si>
    <t>P3 - March 27, 4pm - CX: Forms Catalogue Update (IMM 0267, 0268, 0270, 0271, 0272, 0273 E&amp;F) - New PDF forms to be added</t>
  </si>
  <si>
    <t>P3 - May 2 - 2025-044 - OP 16 / ENF 32 / IP 12, Passports and Travel Documents</t>
  </si>
  <si>
    <t>P3 - May 2, 4pm - CX: Changes to the HR Analytics Connexion Page</t>
  </si>
  <si>
    <t>P3 - May 9, 4pm - CX: Update to PHSC Member's Page</t>
  </si>
  <si>
    <t>P3 - Quick - Image Replacement - IEC Stakeholder Toolkit - Staged Apr 4</t>
  </si>
  <si>
    <t>P3 - QUICK - Remove existing image from site - IEC</t>
  </si>
  <si>
    <t>Menard, Martine (IRCC/IRCC)</t>
  </si>
  <si>
    <t>P3, April 14, COB   PCIL-eSwatini</t>
  </si>
  <si>
    <t>Menard.Martine</t>
  </si>
  <si>
    <t>P3, March 17th, COB   PCIL - Guam (new)</t>
  </si>
  <si>
    <t>P3, May 5, COB    Crim Inadmissibility Tool PDF</t>
  </si>
  <si>
    <t>PUB-00281-TW-HWIP-Operational Reminder - Automatic Cancellation of Immigration Status Documents</t>
  </si>
  <si>
    <t>RE: [P2 - March 31] Passage: Upload latest version of PPM</t>
  </si>
  <si>
    <t>Training Coordination / Coordination de la formation (IRCC)</t>
  </si>
  <si>
    <t>RE: Broken link for courses</t>
  </si>
  <si>
    <t>RE: For posting (P1, April 25): HCWIP - What happens when alternate format caps are full</t>
  </si>
  <si>
    <t xml:space="preserve">RE: For posting (P1, COB today): HCWIP HS - out of status cap update </t>
  </si>
  <si>
    <t>RE: High SLA/high priority CX request - live by COB Apr 2</t>
  </si>
  <si>
    <t>RE: Immigration Story not appearing among most recent stories</t>
  </si>
  <si>
    <t>RE: Inquiry about missing content on IEC pages</t>
  </si>
  <si>
    <t>RE: P1 - (April 24 COB) - Citizenship - FGL extension to Nov</t>
  </si>
  <si>
    <t>RE: P1 - ADMO Phoenix class action - Today at 12PM</t>
  </si>
  <si>
    <t>RE: P1 - April 1 - Sudan PSR TPP</t>
  </si>
  <si>
    <t>RE: P1 - April 10, 9am - CX page removal and update: Economic, Family and Social Immigration Sector page</t>
  </si>
  <si>
    <t>RE: P1 - April 11th - Minor updates to PR card and PRTD pages</t>
  </si>
  <si>
    <t>RE: P1 - April 14, 4pm - CX: Add the latest link for R33.03 Release Notes on Connexion + Update the Release date for the GCMS R34.00 on Connexion</t>
  </si>
  <si>
    <t>RE: P1 - April 24, noon - Bouchard notice</t>
  </si>
  <si>
    <t>RE: P1 - April 8 - Remove T@ Caretaker convention banner</t>
  </si>
  <si>
    <t>RE: P1 - EOD Tomorrow  - New feature on asylum pages</t>
  </si>
  <si>
    <t>RE: P1 - EOD Tomorrow (April 3rd) - New Sudan page</t>
  </si>
  <si>
    <t>RE: P1 due COB Apr 4 (low complexity) - Remove CLB assessment reference</t>
  </si>
  <si>
    <t>RE: P1 web request - April 1 - Ukraine - end of settlement services</t>
  </si>
  <si>
    <t>RE: P1: April 9 - Today@IRCC Protecting Democracy</t>
  </si>
  <si>
    <t>RE: P1-April 11-2 pm</t>
  </si>
  <si>
    <t>RE: P2 - April 11, 4pm - CX: CX-Update GCs Chart of Accounts</t>
  </si>
  <si>
    <t xml:space="preserve">RE: P2 - April 18, 4pm - Connexion Jobs: Informal Conflict Management Practitioner - PE-04 </t>
  </si>
  <si>
    <t>RE: P2 - April 24, 2025 - Page updates - Key contact page</t>
  </si>
  <si>
    <t>RE: P2 - April 28, 4pm - CX: CX-Update Acquisition Card Procedure and Orientation Tool</t>
  </si>
  <si>
    <t>RE: P2 - April 3 - PUB-00267-WHIP-IMP-Specific Quebec Selection Certificate (CSQ) holders currently in Quebec [R205(a) – A73]</t>
  </si>
  <si>
    <t xml:space="preserve">RE: P2 - April 8 - PUB-00277-WHIP-IMP-Residential summer camp counsellors [R205(b) – C24] </t>
  </si>
  <si>
    <t>RE: P2 - March 17 - PUB-00270-WHIP-TRP-Updated VTIP TRP and FV TRP PDIs (from new MIs and PP)</t>
  </si>
  <si>
    <t>RE: P2 - March 18 - PUB-00247-ISB-ISP Regulation Amendments</t>
  </si>
  <si>
    <t>4 days</t>
  </si>
  <si>
    <t>RE: P2 - Today COB - Ombuds edits</t>
  </si>
  <si>
    <t>RE: P2 (Apr 10) - Fees - JSON data file update</t>
  </si>
  <si>
    <t>RE: P2- April 15, 10am- Events to be posted 1/2</t>
  </si>
  <si>
    <t xml:space="preserve">RE: P2- April 15, 10am- Events to be posted 2/2 </t>
  </si>
  <si>
    <t>RE: P2- April 15, 1pm- Events to be posted 1/2</t>
  </si>
  <si>
    <t xml:space="preserve">RE: P2- April 15, 1pm- Events to be posted 2/2 </t>
  </si>
  <si>
    <t xml:space="preserve">RE: P2- April 8, 2pm- Events to be posted </t>
  </si>
  <si>
    <t>RE: P2- April 8, 3pm- Events to be posted 1/2</t>
  </si>
  <si>
    <t xml:space="preserve">RE: P2- April 8, 3pm Events to be posted 2/2 </t>
  </si>
  <si>
    <t xml:space="preserve">RE: P2- March 21, 11am- Events to be posted 2/2 </t>
  </si>
  <si>
    <t>RE: P2- May 30, 10am- Twentieth meeting of the Compliance Committee under the Cartagena Protocol on Biosafety</t>
  </si>
  <si>
    <t>RE: P2-April 1 -Kings Medal</t>
  </si>
  <si>
    <t>RE: P3 - Interpreters List update - April 4th 2025</t>
  </si>
  <si>
    <t>RE: P3 - May 1, 4pm - CX: PMA Banner removal</t>
  </si>
  <si>
    <t>RE: P3, May 1, COB   PCIL - Turks and Caicos</t>
  </si>
  <si>
    <t xml:space="preserve">RE: Urgent asylum STAT correction incoming </t>
  </si>
  <si>
    <t>McLaughlin, Christopher (IRCC/IRCC) (he, him | il, lui)</t>
  </si>
  <si>
    <t>RE: URGENT: P1 - COB MAR 14 - Today@ IRCC FPM2025 Immigration Fraud Kenya</t>
  </si>
  <si>
    <t>RUSH P1 - Today@IRCC Article - Multi-Factor Authentication - Secure Keys</t>
  </si>
  <si>
    <t>URGENT - P1 - April 1 at 10:00 a.m. - T@ Message -CDI</t>
  </si>
  <si>
    <t>URGENT - P1 - April 2 at 10:00 a.m. - T@ Message - Farewell</t>
  </si>
  <si>
    <t xml:space="preserve">URGENT - P1 - April 2 at 11:30 a.m. - T@ Message - Functional Message </t>
  </si>
  <si>
    <t>URGENT - P1 - April 2 at 9:30 a.m. - T@ Message - Org Chart</t>
  </si>
  <si>
    <t>URGENT CX Request: home page banner addition – P1 – Go live on April 16, 2025</t>
  </si>
  <si>
    <t>Qtr2</t>
  </si>
  <si>
    <t>n/a</t>
  </si>
  <si>
    <t>#requests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</si>
</sst>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2" fillId="3" borderId="0" applyNumberFormat="0" applyBorder="0" applyAlignment="0" applyProtection="0"/>
    <xf numFmtId="9" fontId="4" fillId="0" borderId="0" applyFont="0" applyFill="0" applyBorder="0" applyAlignment="0" applyProtection="0"/>
  </cellStyleXfs>
  <cellXfs count="82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3" xfId="0" applyBorder="1"/>
    <xf numFmtId="0" fontId="0" fillId="0" borderId="4" xfId="0" applyBorder="1"/>
    <xf numFmtId="0" fontId="0" fillId="2" borderId="3" xfId="0" applyFill="1" applyBorder="1"/>
    <xf numFmtId="0" fontId="0" fillId="2" borderId="1" xfId="0" applyFill="1" applyBorder="1"/>
    <xf numFmtId="0" fontId="1" fillId="2" borderId="0" xfId="0" applyFont="1" applyFill="1" applyAlignment="1">
      <alignment horizontal="center" wrapText="1"/>
    </xf>
    <xf numFmtId="0" fontId="0" fillId="2" borderId="0" xfId="0" applyFill="1"/>
    <xf numFmtId="164" fontId="0" fillId="2" borderId="3" xfId="0" applyNumberFormat="1" applyFill="1" applyBorder="1"/>
    <xf numFmtId="164" fontId="0" fillId="0" borderId="3" xfId="0" applyNumberFormat="1" applyBorder="1"/>
    <xf numFmtId="164" fontId="0" fillId="2" borderId="1" xfId="0" applyNumberFormat="1" applyFill="1" applyBorder="1"/>
    <xf numFmtId="164" fontId="0" fillId="0" borderId="1" xfId="0" applyNumberFormat="1" applyBorder="1"/>
    <xf numFmtId="164" fontId="0" fillId="0" borderId="8" xfId="0" applyNumberFormat="1" applyBorder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4" fontId="2" fillId="3" borderId="0" xfId="1" applyNumberFormat="1"/>
    <xf numFmtId="0" fontId="2" fillId="3" borderId="0" xfId="1" applyAlignment="1">
      <alignment wrapText="1"/>
    </xf>
    <xf numFmtId="0" fontId="1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2" borderId="14" xfId="0" applyFill="1" applyBorder="1"/>
    <xf numFmtId="164" fontId="0" fillId="2" borderId="14" xfId="0" applyNumberFormat="1" applyFill="1" applyBorder="1"/>
    <xf numFmtId="164" fontId="0" fillId="0" borderId="3" xfId="0" applyNumberFormat="1" applyFill="1" applyBorder="1"/>
    <xf numFmtId="164" fontId="0" fillId="0" borderId="1" xfId="0" applyNumberFormat="1" applyFill="1" applyBorder="1"/>
    <xf numFmtId="164" fontId="0" fillId="0" borderId="8" xfId="0" applyNumberFormat="1" applyFill="1" applyBorder="1"/>
    <xf numFmtId="164" fontId="0" fillId="0" borderId="14" xfId="0" applyNumberFormat="1" applyFill="1" applyBorder="1"/>
    <xf numFmtId="0" fontId="0" fillId="0" borderId="3" xfId="0" applyFill="1" applyBorder="1"/>
    <xf numFmtId="0" fontId="0" fillId="0" borderId="1" xfId="0" applyFill="1" applyBorder="1"/>
    <xf numFmtId="0" fontId="0" fillId="0" borderId="8" xfId="0" applyFill="1" applyBorder="1"/>
    <xf numFmtId="0" fontId="0" fillId="0" borderId="14" xfId="0" applyFill="1" applyBorder="1"/>
    <xf numFmtId="0" fontId="0" fillId="0" borderId="2" xfId="0" quotePrefix="1" applyBorder="1"/>
    <xf numFmtId="0" fontId="0" fillId="0" borderId="5" xfId="0" quotePrefix="1" applyBorder="1"/>
    <xf numFmtId="0" fontId="0" fillId="0" borderId="13" xfId="0" quotePrefix="1" applyBorder="1"/>
    <xf numFmtId="0" fontId="3" fillId="0" borderId="0" xfId="0" applyFont="1"/>
    <xf numFmtId="164" fontId="0" fillId="2" borderId="14" xfId="2" applyNumberFormat="1" applyFont="1" applyFill="1" applyBorder="1"/>
    <xf numFmtId="0" fontId="0" fillId="0" borderId="0" xfId="0" applyAlignment="1">
      <alignment horizontal="left" indent="2"/>
    </xf>
    <xf numFmtId="164" fontId="0" fillId="2" borderId="16" xfId="0" applyNumberFormat="1" applyFill="1" applyBorder="1"/>
    <xf numFmtId="0" fontId="1" fillId="0" borderId="0" xfId="0" applyFont="1" applyFill="1" applyBorder="1"/>
    <xf numFmtId="1" fontId="1" fillId="0" borderId="0" xfId="0" applyNumberFormat="1" applyFont="1" applyFill="1" applyBorder="1"/>
    <xf numFmtId="14" fontId="1" fillId="0" borderId="0" xfId="0" applyNumberFormat="1" applyFont="1" applyFill="1" applyBorder="1"/>
    <xf numFmtId="0" fontId="0" fillId="0" borderId="0" xfId="0" applyFill="1" applyBorder="1"/>
    <xf numFmtId="1" fontId="0" fillId="0" borderId="0" xfId="0" applyNumberFormat="1" applyFill="1" applyBorder="1"/>
    <xf numFmtId="14" fontId="0" fillId="0" borderId="0" xfId="0" applyNumberFormat="1" applyFill="1" applyBorder="1"/>
    <xf numFmtId="14" fontId="0" fillId="0" borderId="0" xfId="0" applyNumberFormat="1" applyAlignment="1">
      <alignment horizontal="left" indent="1"/>
    </xf>
    <xf numFmtId="0" fontId="5" fillId="2" borderId="0" xfId="0" applyFont="1" applyFill="1"/>
    <xf numFmtId="0" fontId="0" fillId="4" borderId="0" xfId="0" applyFill="1"/>
    <xf numFmtId="0" fontId="0" fillId="0" borderId="0" xfId="0" pivotButton="1" applyAlignment="1">
      <alignment wrapText="1"/>
    </xf>
    <xf numFmtId="0" fontId="6" fillId="2" borderId="0" xfId="0" applyFont="1" applyFill="1"/>
    <xf numFmtId="0" fontId="0" fillId="0" borderId="0" xfId="0" applyAlignment="1">
      <alignment horizontal="left" indent="3"/>
    </xf>
    <xf numFmtId="0" fontId="0" fillId="2" borderId="0" xfId="0" applyNumberFormat="1" applyFill="1"/>
    <xf numFmtId="165" fontId="1" fillId="0" borderId="0" xfId="0" applyNumberFormat="1" applyFont="1" applyFill="1" applyBorder="1"/>
    <xf numFmtId="165" fontId="0" fillId="0" borderId="0" xfId="0" applyNumberFormat="1" applyFill="1" applyBorder="1"/>
    <xf numFmtId="0" fontId="0" fillId="0" borderId="0" xfId="0" applyFill="1"/>
    <xf numFmtId="0" fontId="0" fillId="0" borderId="0" xfId="0" applyNumberFormat="1" applyFill="1"/>
    <xf numFmtId="1" fontId="0" fillId="0" borderId="0" xfId="0" applyNumberFormat="1"/>
    <xf numFmtId="164" fontId="0" fillId="0" borderId="0" xfId="0" applyNumberFormat="1"/>
    <xf numFmtId="9" fontId="0" fillId="0" borderId="0" xfId="2" applyFont="1"/>
    <xf numFmtId="9" fontId="0" fillId="0" borderId="0" xfId="2" applyNumberFormat="1" applyFont="1"/>
    <xf numFmtId="0" fontId="0" fillId="2" borderId="2" xfId="0" applyFill="1" applyBorder="1"/>
    <xf numFmtId="0" fontId="0" fillId="2" borderId="13" xfId="0" applyFill="1" applyBorder="1"/>
    <xf numFmtId="0" fontId="0" fillId="2" borderId="5" xfId="0" applyFill="1" applyBorder="1"/>
    <xf numFmtId="165" fontId="0" fillId="0" borderId="0" xfId="0" applyNumberFormat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2"/>
    </xf>
    <xf numFmtId="0" fontId="0" fillId="0" borderId="0" xfId="0" applyAlignment="1">
      <alignment horizontal="left" indent="4"/>
    </xf>
    <xf numFmtId="14" fontId="0" fillId="0" borderId="0" xfId="0" applyNumberFormat="1" applyAlignment="1">
      <alignment horizontal="left" indent="4"/>
    </xf>
    <xf numFmtId="0" fontId="0" fillId="0" borderId="0" xfId="0" applyAlignment="1">
      <alignment horizontal="left" indent="5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3">
    <cellStyle name="Good" xfId="1" builtinId="26"/>
    <cellStyle name="Normal" xfId="0" builtinId="0"/>
    <cellStyle name="Percent" xfId="2" builtinId="5"/>
  </cellStyles>
  <dxfs count="61">
    <dxf>
      <numFmt numFmtId="0" formatCode="General"/>
      <fill>
        <patternFill patternType="solid">
          <fgColor indexed="64"/>
          <bgColor theme="9" tint="0.59999389629810485"/>
        </patternFill>
      </fill>
    </dxf>
    <dxf>
      <numFmt numFmtId="0" formatCode="General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9" tint="0.599993896298104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361950</xdr:colOff>
      <xdr:row>0</xdr:row>
      <xdr:rowOff>171450</xdr:rowOff>
    </xdr:from>
    <xdr:to>
      <xdr:col>25</xdr:col>
      <xdr:colOff>609600</xdr:colOff>
      <xdr:row>11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801725" y="171450"/>
          <a:ext cx="2971800" cy="2124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600" b="1"/>
            <a:t>Note</a:t>
          </a:r>
        </a:p>
        <a:p>
          <a:pPr algn="l"/>
          <a:endParaRPr lang="en-CA" sz="1100" b="1"/>
        </a:p>
        <a:p>
          <a:pPr algn="l"/>
          <a:r>
            <a:rPr lang="en-CA" sz="1100"/>
            <a:t>To switch</a:t>
          </a:r>
          <a:r>
            <a:rPr lang="en-CA" sz="1100" baseline="0"/>
            <a:t> the data from numbers to % go to the PivotTable field window/VALUES/Coder back from QA</a:t>
          </a:r>
        </a:p>
        <a:p>
          <a:pPr algn="l"/>
          <a:endParaRPr lang="en-CA" sz="1100" baseline="0"/>
        </a:p>
        <a:p>
          <a:pPr algn="l"/>
          <a:r>
            <a:rPr lang="en-CA" sz="1100"/>
            <a:t>Get the Value Field Setting window by hitting the little arrow. </a:t>
          </a:r>
        </a:p>
        <a:p>
          <a:pPr algn="l"/>
          <a:endParaRPr lang="en-CA" sz="1100"/>
        </a:p>
        <a:p>
          <a:pPr algn="l"/>
          <a:r>
            <a:rPr lang="en-CA" sz="1100"/>
            <a:t>In the Value Field settings Window go to the "Show Values As tab" and select Show values as "No calculation" or "% of Row Total".</a:t>
          </a:r>
        </a:p>
      </xdr:txBody>
    </xdr:sp>
    <xdr:clientData/>
  </xdr:twoCellAnchor>
  <xdr:twoCellAnchor>
    <xdr:from>
      <xdr:col>13</xdr:col>
      <xdr:colOff>38100</xdr:colOff>
      <xdr:row>0</xdr:row>
      <xdr:rowOff>38101</xdr:rowOff>
    </xdr:from>
    <xdr:to>
      <xdr:col>15</xdr:col>
      <xdr:colOff>28575</xdr:colOff>
      <xdr:row>2</xdr:row>
      <xdr:rowOff>133350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096625" y="38101"/>
          <a:ext cx="2895600" cy="4762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This</a:t>
          </a:r>
          <a:r>
            <a:rPr lang="en-CA" sz="1100" baseline="0"/>
            <a:t> data is filtered for tasks that went to QA only. </a:t>
          </a:r>
        </a:p>
        <a:p>
          <a:pPr algn="l"/>
          <a:r>
            <a:rPr lang="en-CA" sz="1100" baseline="0"/>
            <a:t>Keep the Bypass-QA filter at "No"</a:t>
          </a:r>
          <a:endParaRPr lang="en-CA" sz="1100"/>
        </a:p>
      </xdr:txBody>
    </xdr:sp>
    <xdr:clientData/>
  </xdr:twoCellAnchor>
  <xdr:twoCellAnchor>
    <xdr:from>
      <xdr:col>5</xdr:col>
      <xdr:colOff>495298</xdr:colOff>
      <xdr:row>0</xdr:row>
      <xdr:rowOff>66674</xdr:rowOff>
    </xdr:from>
    <xdr:to>
      <xdr:col>10</xdr:col>
      <xdr:colOff>981074</xdr:colOff>
      <xdr:row>2</xdr:row>
      <xdr:rowOff>1047749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314823" y="66674"/>
          <a:ext cx="4857751" cy="1362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000"/>
            <a:t>We are no longer grabbing data for Bypassed tasks</a:t>
          </a:r>
          <a:r>
            <a:rPr lang="en-CA" sz="1000" baseline="0"/>
            <a:t> &amp; back from client.</a:t>
          </a:r>
          <a:br>
            <a:rPr lang="en-CA" sz="1000" baseline="0"/>
          </a:br>
          <a:br>
            <a:rPr lang="en-CA" sz="1000" baseline="0"/>
          </a:br>
          <a:r>
            <a:rPr lang="en-CA" sz="1000" baseline="0"/>
            <a:t>To get # of "Tasks with flagged issues from client", change back to "All",  use # under "Count of flagged issues # of tasks". </a:t>
          </a:r>
        </a:p>
        <a:p>
          <a:pPr algn="l"/>
          <a:br>
            <a:rPr lang="en-CA" sz="1000" baseline="0"/>
          </a:br>
          <a:r>
            <a:rPr lang="en-CA" sz="1000" baseline="0"/>
            <a:t>To get # of "URLs with flagged issues from client", change back to "All", use # of "Sum of flagged issues (# of URLs).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</xdr:row>
      <xdr:rowOff>114300</xdr:rowOff>
    </xdr:from>
    <xdr:to>
      <xdr:col>22</xdr:col>
      <xdr:colOff>333375</xdr:colOff>
      <xdr:row>11</xdr:row>
      <xdr:rowOff>142875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554325" y="304800"/>
          <a:ext cx="5391150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600" b="1"/>
            <a:t>Note</a:t>
          </a:r>
        </a:p>
        <a:p>
          <a:pPr algn="l"/>
          <a:endParaRPr lang="en-CA" sz="1100" b="1"/>
        </a:p>
        <a:p>
          <a:pPr algn="l"/>
          <a:r>
            <a:rPr lang="en-CA" sz="1100"/>
            <a:t>To switch</a:t>
          </a:r>
          <a:r>
            <a:rPr lang="en-CA" sz="1100" baseline="0"/>
            <a:t> the data from numbers to % go to the PivotTable field window/VALUES/Coder back from QA</a:t>
          </a:r>
        </a:p>
        <a:p>
          <a:pPr algn="l"/>
          <a:endParaRPr lang="en-CA" sz="1100" baseline="0"/>
        </a:p>
        <a:p>
          <a:pPr algn="l"/>
          <a:r>
            <a:rPr lang="en-CA" sz="1100"/>
            <a:t>Get the Value Field Setting window by hitting the little arrow. </a:t>
          </a:r>
        </a:p>
        <a:p>
          <a:pPr algn="l"/>
          <a:endParaRPr lang="en-CA" sz="1100"/>
        </a:p>
        <a:p>
          <a:pPr algn="l"/>
          <a:r>
            <a:rPr lang="en-CA" sz="1100"/>
            <a:t>In the Value Field settings Window go to the "Show Values As tab" and select Show values as "No calculation" or "% of Row Total".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666749</xdr:colOff>
      <xdr:row>0</xdr:row>
      <xdr:rowOff>28576</xdr:rowOff>
    </xdr:from>
    <xdr:to>
      <xdr:col>19</xdr:col>
      <xdr:colOff>600075</xdr:colOff>
      <xdr:row>8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53274" y="28576"/>
          <a:ext cx="8705851" cy="15525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600" b="1"/>
            <a:t>Instructions</a:t>
          </a:r>
        </a:p>
        <a:p>
          <a:pPr algn="l"/>
          <a:r>
            <a:rPr lang="en-CA" sz="1100"/>
            <a:t>You can only see one item</a:t>
          </a:r>
          <a:r>
            <a:rPr lang="en-CA" sz="1100" baseline="0"/>
            <a:t> at the time (Side-by-Side, Tracked-Clean, Complete-Request, Amendment-Client, Last Minute, Coding days vs complexity).</a:t>
          </a:r>
        </a:p>
        <a:p>
          <a:pPr algn="l"/>
          <a:r>
            <a:rPr lang="en-CA" sz="1100"/>
            <a:t>To see </a:t>
          </a:r>
          <a:r>
            <a:rPr lang="en-CA" sz="1100" baseline="0"/>
            <a:t>the data  mentionned above you click the little arrow beside the item you want and only select "yes" or "FALSE" for Coding day vs complexity. </a:t>
          </a:r>
        </a:p>
        <a:p>
          <a:pPr algn="l"/>
          <a:endParaRPr lang="en-CA" sz="1100" baseline="0"/>
        </a:p>
        <a:p>
          <a:pPr algn="l"/>
          <a:r>
            <a:rPr lang="en-CA" sz="1100" b="1" baseline="0"/>
            <a:t>Notes: </a:t>
          </a:r>
        </a:p>
        <a:p>
          <a:pPr algn="l"/>
          <a:r>
            <a:rPr lang="en-CA" sz="1100" b="1" baseline="0"/>
            <a:t>-</a:t>
          </a:r>
          <a:r>
            <a:rPr lang="en-CA" sz="1100" baseline="0"/>
            <a:t>You must reset each item back to (All) before making a new selection.</a:t>
          </a:r>
          <a:br>
            <a:rPr lang="en-CA" sz="1100" baseline="0"/>
          </a:br>
          <a:r>
            <a:rPr lang="en-CA" sz="1100" baseline="0"/>
            <a:t>-Side-by-Side, tracked clean, complete request, amendment by client, missing info and unclear instructions should be counted together. </a:t>
          </a:r>
          <a:br>
            <a:rPr lang="en-CA" sz="1100" baseline="0"/>
          </a:br>
          <a:endParaRPr lang="en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19</xdr:col>
      <xdr:colOff>685801</xdr:colOff>
      <xdr:row>6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52950" y="0"/>
          <a:ext cx="8705851" cy="1314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600" b="1"/>
            <a:t>Instructions</a:t>
          </a:r>
        </a:p>
        <a:p>
          <a:pPr algn="l"/>
          <a:r>
            <a:rPr lang="en-CA" sz="1100"/>
            <a:t>You can only see one item</a:t>
          </a:r>
          <a:r>
            <a:rPr lang="en-CA" sz="1100" baseline="0"/>
            <a:t> at the time (Side-by-Side, Tracked-Clean, Complete-Request, Amendment-Client, Last Minute, Coding days vs complexity).</a:t>
          </a:r>
        </a:p>
        <a:p>
          <a:pPr algn="l"/>
          <a:r>
            <a:rPr lang="en-CA" sz="1100"/>
            <a:t>To see </a:t>
          </a:r>
          <a:r>
            <a:rPr lang="en-CA" sz="1100" baseline="0"/>
            <a:t>the data  mentionned above you click the little arrow beside the item you want and only select "yes" or "FALSE" for Coding day vs complexity. </a:t>
          </a:r>
        </a:p>
        <a:p>
          <a:pPr algn="l"/>
          <a:endParaRPr lang="en-CA" sz="1100" baseline="0"/>
        </a:p>
        <a:p>
          <a:pPr algn="l"/>
          <a:r>
            <a:rPr lang="en-CA" sz="1100" b="1" baseline="0"/>
            <a:t>Note: </a:t>
          </a:r>
          <a:r>
            <a:rPr lang="en-CA" sz="1100" baseline="0"/>
            <a:t>You must reset each item back to (All) before making a new selection.</a:t>
          </a:r>
          <a:endParaRPr lang="en-CA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siambre, Cynthia (IRCC/IRCC)" refreshedDate="45778.45127326389" missingItemsLimit="0" createdVersion="5" refreshedVersion="8" minRefreshableVersion="3" recordCount="291" xr:uid="{00000000-000A-0000-FFFF-FFFF1B000000}">
  <cacheSource type="worksheet">
    <worksheetSource name="table_data"/>
  </cacheSource>
  <cacheFields count="47">
    <cacheField name="Site/Property" numFmtId="0">
      <sharedItems count="3">
        <s v="Intra"/>
        <s v="Inter"/>
        <s v="Intra/Inter"/>
      </sharedItems>
    </cacheField>
    <cacheField name="Priority-Level" numFmtId="0">
      <sharedItems/>
    </cacheField>
    <cacheField name="TimeReceived" numFmtId="0">
      <sharedItems/>
    </cacheField>
    <cacheField name="Request Number" numFmtId="1">
      <sharedItems containsSemiMixedTypes="0" containsString="0" containsNumber="1" containsInteger="1" minValue="205170849" maxValue="2025041100935"/>
    </cacheField>
    <cacheField name="Contacts" numFmtId="0">
      <sharedItems count="49">
        <s v="Provost, Stephane (IRCC/IRCC)"/>
        <s v="Santos.Aloisa"/>
        <s v="Flores, Grisel (IRCC/IRCC)"/>
        <s v="Change-Release Management / Gestion de mises en production (IRCC)"/>
        <s v="Isaacs, Meaghan (IRCC/IRCC)"/>
        <s v="Younes, Samer (IRCC/IRCC)"/>
        <s v="El-Arab, Danna (IRCC/IRCC)"/>
        <s v="Essiambre, Cynthia (IRCC/IRCC) (she, her | elle, la)"/>
        <s v="Foulkes, Amy (IRCC/IRCC) (she, her, hers | elle, la, lui)"/>
        <s v="Parris.Jurell"/>
        <s v="Umutesi, Viviane (IRCC/IRCC)"/>
        <s v="Gauthier-Marinier, Martine (IRCC/IRCC)"/>
        <s v="Arthur, Michael (IRCC/IRCC) (he, him | il, lui)"/>
        <s v="EFSI PDI Publish / IEFS IEP Publier (IRCC)"/>
        <s v="Hayes, Dustin (IRCC/IRCC)"/>
        <s v="Maubant.Emilien"/>
        <s v="Rustandjaja, Nadya (IRCC/IRCC)"/>
        <s v="Nair, Ajay (IRCC/IRCC) (he, him | il, lui)"/>
        <s v="Special Events / Evenements Speciaux (IRCC)"/>
        <s v="Angulo, Beatrice (IRCC/IRCC)"/>
        <s v="COMM Connexion Jobs / Emplois Connexion COMM (IRCC)"/>
        <s v="O'Brien, Erin (IRCC/IRCC)"/>
        <s v="MacDougall, William (IRCC/IRCC)"/>
        <s v="Tang, Jenny (IRCC/IRCC)"/>
        <s v="MacDougall.Colin"/>
        <s v="Evseev, Egor (IRCC/IRCC)"/>
        <s v="Carriere.Nicholas"/>
        <s v="COMM PDI Web / IEP Web COMM (IRCC)"/>
        <s v="Blanchard.Jessica (she, her | elle, la)"/>
        <s v="Boileau, Julie (IRCC/IRCC) (she, her | elle, la)"/>
        <s v="Dransfield, Tracy (IRCC/IRCC)"/>
        <s v="Mueller, Sean (IRCC/IRCC) (Any pronoun | N'importe quel pronom)"/>
        <s v="Degouffe, Jacqueline (IRCC/IRCC) (she, her | elle, la)"/>
        <s v="Wong, John-Gee (IRCC/IRCC) (he, him | il, lui)"/>
        <s v="Lawson, Kayla (IRCC/IRCC) (she, her | elle, la)"/>
        <s v="Stevenson, Holly (IRCC/IRCC)"/>
        <s v="Chang.Jennifer"/>
        <s v="Fortier, Jacqueline (IRCC/IRCC)"/>
        <s v="Rozon-Richer, Malika (IRCC/IRCC) (elle, la | she, her)"/>
        <s v="COMM Passage / Passage COMM (IRCC)"/>
        <s v="Gores, Kelsey (IRCC/IRCC)"/>
        <s v="MacDougall.J.Colin"/>
        <s v="Habib, Minas (IRCC/IRCC)"/>
        <s v="Bedard, Karine (IRCC/IRCC) (she, her | elle, la)"/>
        <s v="Michaud, Gabrielle (IRCC/IRCC) (she, her, hers | elle, la)"/>
        <s v="Menard, Martine (IRCC/IRCC)"/>
        <s v="Menard.Martine"/>
        <s v="Training Coordination / Coordination de la formation (IRCC)"/>
        <s v="McLaughlin, Christopher (IRCC/IRCC) (he, him | il, lui)"/>
      </sharedItems>
    </cacheField>
    <cacheField name="Group" numFmtId="0">
      <sharedItems count="6">
        <s v="Other"/>
        <s v="Internet Advisors"/>
        <s v="Internal Comms"/>
        <s v="Intranet Advisors"/>
        <s v="Web Ops"/>
        <s v="Special Events"/>
      </sharedItems>
    </cacheField>
    <cacheField name="Section" numFmtId="0">
      <sharedItems containsBlank="1" count="6">
        <m/>
        <s v="Cit"/>
        <s v="PR"/>
        <s v="Settlement"/>
        <s v="Asylum"/>
        <s v="TR"/>
      </sharedItems>
    </cacheField>
    <cacheField name="Subject" numFmtId="0">
      <sharedItems count="285">
        <s v=" P 1 - April 29, ASAP – Form Catalogue update - CIT 0004 B (04-2025) "/>
        <s v="(April 22) Change my address - add page feedback tool"/>
        <s v="[urgent request] Hide  all banners on Apr 23 and only have the Administrative Professionals Day live"/>
        <s v="[urgent request] P1 - CX Request: home page banner addition to go live tomorrow Apr 23 and removal on Apr 24"/>
        <s v="[urgent request] P1 - Today, April 22 at 2:30 pm ET - T@ article - Administrative professionals day "/>
        <s v="Connexion: Scheduled IT Outages for IT Outages Calendar for April 10, 2025"/>
        <s v="Connexion: Scheduled IT Outages for IT Outages Calendar for April 14, 2025"/>
        <s v="Connexion: Scheduled IT Outages for IT Outages Calendar for April 16, 2025"/>
        <s v="Connexion: Scheduled IT Outages for IT Outages Calendar for April 17, 2025"/>
        <s v="Connexion: Scheduled IT Outages for IT Outages Calendar for April 2, 2025"/>
        <s v="Connexion: Scheduled IT Outages for IT Outages Calendar for April 22, 2025"/>
        <s v="Connexion: Scheduled IT Outages for IT Outages Calendar for April 23, 2025"/>
        <s v="Connexion: Scheduled IT Outages for IT Outages Calendar for April 24, 2025"/>
        <s v="Connexion: Scheduled IT Outages for IT Outages Calendar for April 25, 2025"/>
        <s v="Connexion: Scheduled IT Outages for IT Outages Calendar for April 3, 2025"/>
        <s v="Connexion: Scheduled IT Outages for IT Outages Calendar for April 7, 2025"/>
        <s v="Connexion: Scheduled IT Outages for IT Outages Calendar for April 8, 2025"/>
        <s v="Connexion: Scheduled IT Outages for IT Outages Calendar for April 9, 2025"/>
        <s v="CX Request - P2 - April 16 - recode of existing public opinion research page, redirects, deletion"/>
        <s v="CX Request - P2 - April 30 - Recode of existing evacuation page, deletion of a page"/>
        <s v="CX Request - P2 - Crawl of select emergencies pages"/>
        <s v="CX Request: home page banner  removal – P1 – Go live on April 16"/>
        <s v="CX Request: home page banner addition and removal – P1 – Go live on April 7"/>
        <s v="For posting (P1, asap today): HCWIP cap update and alert"/>
        <s v="For posting (P1, tmrw): HCWIP - French fixes and add link"/>
        <s v="For posting (P1, today): HCWIP - almost full OR all caps full updates"/>
        <s v="For posting (P1, today): HCWIP - Home support alternate format caps - clarification"/>
        <s v="FW: Notice: Upcoming Scheduled Outage - IRCC Portal - New Version System Unavailable // Avis : Interruption planifiée à venir - Portail d’IRCC - Nouvelle version du système non disponible"/>
        <s v="Heads up for a rushed P1 request to be published in the morning on April 1"/>
        <s v="Heads-up (P1, tmrw morning): HCWIP - Caps full update"/>
        <s v="High SLA/high priority CX request - live by COB Apr 2"/>
        <s v="List of web pages referencing some HC questions"/>
        <s v="P 2 - (2025-04-03) – Forms Catalogue update - ADM 0308, 0309, 0310, 0311 (03-2025)"/>
        <s v="P 2 - (2025-04-03) – Forms Catalogue update - IMM5555 E&amp;F (01-2025)"/>
        <s v="P 2 - (2025-04-15) – Forms Catalogue update - IMM 0193 E&amp;F (02-2025)"/>
        <s v="P 2 - (2025-04-25) – Forms Catalogue update - IMM 0270F"/>
        <s v="P 2 - (2025-05-05) – Forms Catalogue update - IMM 5476 (05-2025)"/>
        <s v="P 2 - Go Live morning of April 30  - replacing a departing DG's name on Connexion "/>
        <s v="P1 - (COB) - Citizenship - removing reaffirmation certificate"/>
        <s v="P1 - Apr 25, 4pm - S62 - Applicants under an unenforceable removal order"/>
        <s v="P1 - April 1 - Connexion: Update ATIP coordinator contact information "/>
        <s v="P1 - April 1 - Visit - Visitor Visa small language clarification"/>
        <s v="P1 - April 10 ASAP - Update non-compliant employers list – status update (correction) "/>
        <s v="P1 - April 14 - Update non-compliant employers list – New employers and status correction "/>
        <s v="P1 - April 14 - Visit - Afghanistan measures - Notebox"/>
        <s v="P1 - April 14, 4pm - CX: Add the latest link for R33.03 Release Notes on Connexion + Update the Release date for the GCMS R34.00 on Connexion"/>
        <s v="P1 - April 15 at 9:30 a.m. - T@ Message -Realignment callout "/>
        <s v="P1 - April 15th - Adding Feedback tool on PRTD pages"/>
        <s v="P1 - April 16 - Update non-compliant employers list – Employers status correction "/>
        <s v="P1 - April 16, 10am - 25ACMH"/>
        <s v="P1 - April 17 - Designated Learning Institution (DLI) Urgent de-designation + Update"/>
        <s v="P1 - April 1st - Updating titles for IMM 0268 and 5669"/>
        <s v="P1 - April 22, 4pm - Connexion Jobs Removal"/>
        <s v="P1 - April 23- Update non-compliant employers list – Employers status correction "/>
        <s v="P1 - April 28 - DLI List - April 22 Weekly update"/>
        <s v="P1 - April 28th - Updating Guide 5523"/>
        <s v="P1 - April 29 at 4:00 p.m. - T@ Message -Realignment callout "/>
        <s v="P1 - April 3 - Fix wrong link on SP topic page"/>
        <s v="P1 - April 3 - Study - PAL TAL Quick fix (header)"/>
        <s v="P1 - April 3 - Update non-compliant employers list – new employers"/>
        <s v="P1 - April 3, 12pm- CX minor update: FR Org chart page"/>
        <s v="P1 - April 3, 9am - CX-update: ADM Bio"/>
        <s v="P1 - April 30 - Designated Learning Institution (DLI) List Urgent de-designation - Eastern Academy"/>
        <s v="P1 - April 30 - Settlement - remove outdated alert on funding page"/>
        <s v="P1 - April 30 - Sudan TPP label changes"/>
        <s v="P1 - April 3rd - Adding Home Care Workers pilots to Guides index page"/>
        <s v="P1 - April 4 - Fix mailto: and add space"/>
        <s v="P1 - April 4 - Sudan PSR H2A updates"/>
        <s v="P1 - April 4, 3pm - CX update and page deletions: Org changes"/>
        <s v="P1 - April 4th - Adding one paragraph in Guide 0497 FR "/>
        <s v="P1 - April 7 - Passport locations list update - Whitby PPT office closed, Oshawa &amp; Ajax offering 10 day service"/>
        <s v="P1 - April 7 - Update non-compliant employers list – new employer"/>
        <s v="P1 - April 7th - Updating a link"/>
        <s v="P1 - April 8 -  DLI List update - Advantage English School"/>
        <s v="P1 - April 8 - Update non-compliant employers list – status updates"/>
        <s v="P1 - April 8 at 4:00 p.m. - T@ Message -Data Ethics event"/>
        <s v="P1 - April 9 - Update non-compliant employers list – status update "/>
        <s v="P1 - April 9, 4pm - CX: Blue Alert Removal - Visas Page"/>
        <s v="P1 - ASAP - Asylum Stats"/>
        <s v="P1 - ASAP - Sudan alert update"/>
        <s v="P1 - ASAP April 17 - Urgent DLI List De-designation - Canadian National Institute of Business"/>
        <s v="P1 - ASAP today - tiny correction of 2 numbers"/>
        <s v="P1 - Due COB April 10 - TRP for Minors in state care clarification"/>
        <s v="P1 - Due COB April 7 - Mexico police certificate clarification"/>
        <s v="P1 - DUE COB Thursday April 10 - ARC clarification to apply online"/>
        <s v="P1 - live asap - republish pages w/include caching issues"/>
        <s v="P1 - March 10 - Update non-compliant employers list- add new employers"/>
        <s v="P1 - March 10 (very quick) - Study - Changing schools - New update"/>
        <s v="P1 - March 17 - Update non-compliant employers list - add new employers"/>
        <s v="P1 - March 21 - PUB-00231-WHIP-IMP-Open work permits for Start-Up Visa (SUV) permanent residence applicants and updated instructions for SUV [FRENCH]"/>
        <s v="P1 - March 25 - 2025-027 - RPCD to RPID - Asylum"/>
        <s v="P1 - March 28 - Connexion update - About IRCC - Research and Data - Find and replace email address"/>
        <s v="P1 - March 31 - Restoration info for out-of-status homecare workers under HCWIP 2025"/>
        <s v="P1 - March 31st - Minor updates to CIT 0003"/>
        <s v="P1 - March 31st - Updating 4 guides due to citizenship fees increase"/>
        <s v="P1 - May 2 - English on French page"/>
        <s v="P1 - Staged March 21 - DLI List weekly updates - March 17"/>
        <s v="P1 - Today - Passport locations list update - Oshawa SCC"/>
        <s v="P1 - Today COB - Passport locations list update - removing Dalhousie SCC "/>
        <s v="P1 - Upcoming scheduled outage - April 11"/>
        <s v="P1 - Upcoming scheduled outage - April 25"/>
        <s v="P1 - Upcoming scheduled outage - IRCC portal "/>
        <s v="P1 - Upcoming scheduled outage - today"/>
        <s v="P1 (Apr 1): Fees outage Feb 11 "/>
        <s v="P1 (April 1 8am) Settlement - SPO list data upload"/>
        <s v="P1 April 30 - Update non-compliant employers list"/>
        <s v="P1 -Live today - IEC Weekly numbers "/>
        <s v="P1- Removal of outage message- IRCC Portal New Version"/>
        <s v="P1 urgent due Apr 11 - Add &quot;2025 full&quot; label to Home Care Worker Immigration pilot "/>
        <s v="P1 web request - April 29 - end of Job Bank for Ukrainians "/>
        <s v="P1: (by noon on April 3) - minor correction "/>
        <s v="P1: ASAP Edits to Today@IRCC on telework "/>
        <s v="P1: Today@ edit - Protecting Democracy"/>
        <s v="P1: Urgent - ASAP - Make change to homepage of CX"/>
        <s v="P1-10 am Tuesday-Kings medals banner"/>
        <s v="P1-9am tuesday-HR awards"/>
        <s v="P1-April 11-2 pm"/>
        <s v="P1-April 16, 2pm- CX Budget page update + new data on impacted employees page"/>
        <s v="P1-April 2, EOD- CX update: Budget page "/>
        <s v="P1-April 8 -Kings Medal"/>
        <s v="P1-Friday Mar 27 3 pm-Meet your ombuds"/>
        <s v="P1-March 13 3 pm-Meet and  Mingle with Manda"/>
        <s v="P2 - (Apr 14) - Scan for iran include and remove from some pages"/>
        <s v="P2 - (April 2, 2025) - Update Connexion FIN 0078"/>
        <s v="P2 - (April 2, 2025) - Update Connexion IMM 0168"/>
        <s v="P2 - (April 8, 2025) - Update Connexion ADM 0191"/>
        <s v="P2 - Apr 17? - OT visa tool - Niger"/>
        <s v="P2 - Apr 28 - SUV org name update"/>
        <s v="P2 - April 1  – Form Catalogue update - ADM 0069 E&amp;F (03-2025)"/>
        <s v="P2 - April 1 COB - 2025-032 - Urgent - Citizenship Interim Measure"/>
        <s v="P2 - April 10 - PUB-00275-SPEC-ECON-Application for authorization to become a permanent resident under A25, R307 and R66"/>
        <s v="P2 - April 10, 2025 - Page update - Policy on IT Security"/>
        <s v="P2 - April 11 - HK OWP - Remove broken link"/>
        <s v="P2 - April 11 - Passage - Passport Service Standards - March 2025"/>
        <s v="P2 - April 11 - Upload PCIL PDF"/>
        <s v="P2 - April 11, 2025 - Page update - Policy on IT Security"/>
        <s v="P2 - April 11, 4pm  - CX: Updates to World Map with Missions"/>
        <s v="P2 - April 11, 4pm - CX: CX-Update Cost Management Models dates and documents"/>
        <s v="P2 - April 14 - Connexion: Update IT megamenu"/>
        <s v="P2 - April 14, 4pm - CX: Career fair page web update"/>
        <s v="P2 - April 14, 4pm - CX: CX-Update Procedure on Spending Authority G&amp;Cs"/>
        <s v="P2 - April 14, 4pm - CX: Modify ZZJV procedure on Connexion"/>
        <s v="P2 - April 15 - 10 am ET - Edits to the article: Tools to support workforce mobility"/>
        <s v="P2 - April 15 - 2025-030 - Centralized Concurrent Processing (CCP) pilot in Canada (internal only)"/>
        <s v="P2 - April 15, 2pm - 25ICCI"/>
        <s v="P2 - April 16 - PUB-00232-TRIS-ISP-Study permits Off campus work PDI Update"/>
        <s v="P2 - April 17  – Form Catalogue update - IMM 5707 E&amp;F (01-2023)"/>
        <s v="P2 - April 17 - Connexion: Update IT megamenu"/>
        <s v="P2 - April 17, COB - T@ Celebrating 50 years with IRCC!"/>
        <s v="P2 - April 18  – Form Catalogue update - ADM 0049 E&amp;F (04-2025)"/>
        <s v="P2 - April 18, 4pm - CX: Assistance with Connexion Page Updates-PDN"/>
        <s v="P2 - April 22, 2025 - PUB-00246-WALOA-Study permits-Scholarship and award recipients"/>
        <s v="P2 - April 23, 4pm - CX: AddingQ4 Printer Ratio updates to our SD webpage"/>
        <s v="P2 - April 24 - 2025-025 - PRRA remote hearing"/>
        <s v="P2 - April 24 - Connexion: How to order a mobile device"/>
        <s v="P2 - April 24 - RE: &quot;Inquiry form: Connexion update&quot; submission received"/>
        <s v="P2 - April 24th - Page updates - Organization Sectors and branches"/>
        <s v="P2 - April 25, 2pm - 25VCTM"/>
        <s v="P2 - April 25? - Official travel - clarification on proper use"/>
        <s v="P2 - April 28 - Add page feedback tool to 1 FR page"/>
        <s v="P2 - April 30 - ECA link updates"/>
        <s v="P2 - April 4, 4pm - CX: Archive/remove course pages"/>
        <s v="P2 - April 4, 4pm - CX: Assistance with Connexion Page Updates-PDN"/>
        <s v="P2 - April 6 - RFCIP community list link updates"/>
        <s v="P2 - April 8 - add feedback widget to RFCIP landing page"/>
        <s v="P2 - April 8, 2025 - Page updates - Financial systems, user guides and forms"/>
        <s v="P2 – April 8, 8 am - T@ Cross-cultural training across Sub-Saharan Africa"/>
        <s v="P2 - April 8, COB- CX highlight box change"/>
        <s v="P2 - April 9 - Connexion: update to Fleet management"/>
        <s v="P2 - Due COB April 2 - replace graph on levels page"/>
        <s v="P2 - Due COB April 4 - Adding link to AI tool independent review"/>
        <s v="P2 - Due COB Jan. 23 - PNP processing times"/>
        <s v="P2 - Feb 14, 4pm - CX: Updating page on connexion"/>
        <s v="P2 - Find out if you need a Visa tool (simple edits) - Add Transit - Staged by COB"/>
        <s v="P2 - Jan 30, 4pm - CX: Updating Passports and visas Connexion page"/>
        <s v="P2 - January 22 - 2025-003 - IL 3 - Designation of Officers and Delegation of Authority"/>
        <s v="P2 - Legal Q&amp;A - April 22"/>
        <s v="P2 - March 28 - 2025-015 - Updates to Authorization to Return to Canada PDI "/>
        <s v="P2 - March 31 - Connexion: Email best practices and purge update"/>
        <s v="P2 - March 31 - Connexion: update "/>
        <s v="P2 - March 31 - Connexion: Update 325 Milner hours"/>
        <s v="P2 - March 31, 4pm - CX: Remove - Order passport program stationery (forms, labels, posters and file folders)"/>
        <s v="P2 - March 31, 4pm - CX: Updates to course pages in Connexion"/>
        <s v="P2 - March 6th - Updating instructions for IMM 1344"/>
        <s v="P2 - May 1, 4pm - CX: Changing text on VAC page"/>
        <s v="P2 - May 1, 4pm - CX: CX-Update Acquisition Card Procedure and Orientation Tool"/>
        <s v="P2 - May 5, 2pm - 25LLSI"/>
        <s v="P2 - Quick - Link update - IEC - Czech Republic - Staged March 28"/>
        <s v="P2 - Staged April 3 - Minor work page update - Remove mention of &quot;new&quot;"/>
        <s v="P2 - TR broken links - April 25"/>
        <s v="P2 (2025-04-03) – Form Catalogue update - IMM 5644 E&amp;F (12-2024)"/>
        <s v="P2 (Apr 9): fees outage Apr 8 - remove note"/>
        <s v="P2 Apr 15 - Fix Beirut VAC typo"/>
        <s v="P2 April 17 2025 IMM 2048 "/>
        <s v="P2- April 22, 10am- Event to be updated"/>
        <s v="P2- April 22, 3pm- Event page to be updated "/>
        <s v="P2- April 8, 12pm- Events to be posted 1/2"/>
        <s v="P2- April 8, 12pm- Events to be posted 2/2"/>
        <s v="P2- April 8, 4pm- Events to be posted 2/2"/>
        <s v="P2- April 9, 4pm- Event page to be updated"/>
        <s v="P2- April 9, 4pm- Event page to be updated "/>
        <s v="P2- March 24, 12pm- Events to be updated"/>
        <s v="P2- May 30, 1pm- 2025 Canada Cup of Diving"/>
        <s v="P2- May 30, 4pm- Symposium International Des Femmes Afroentrepreneures-Sifa"/>
        <s v="P2-April 8, 4pm- Events to be posted 1/2"/>
        <s v="P2-March 26 noon-Myth or fact: To idle or not to idle?"/>
        <s v="P3 - April 10?  - Passport locations list update - Ajax/Oshawa --&gt; PPT offices"/>
        <s v="P3 - April 11, 4pm  - CX: PO Boxes"/>
        <s v="P3 - April 11th - Removing Top Banner from 88 Immigration Matters pages "/>
        <s v="P3 - April 17 - Connexion update - Interpreter's List - April 9 2025"/>
        <s v="P3 - April 18, 4pm - CX: Add link to new document"/>
        <s v="P3 - April 18, 4pm - CX: CX-Incoming Official Visit"/>
        <s v="P3 - April 18, 4pm - CX: Update links"/>
        <s v="P3 - April 21, 4pm - CX: VAC # Update"/>
        <s v="P3 - April 25, 4pm - Crawl Request Migration URLs from PWGSC"/>
        <s v="P3 - April 4 - PDI misc - PDU template file replace"/>
        <s v="P3 - April 4? - Passport forms update "/>
        <s v="P3 - April 4th 2025 - Champion Shuffle"/>
        <s v="P3 - Image update - Luxembourg - QUICK"/>
        <s v="P3 - Maintenance, remove horizontal scroll on outage message - No due date"/>
        <s v="P3 - March 10 - Remove PFT from Contact Us pages"/>
        <s v="P3 - March 17, 4pm - CX: Minor updates to the Sensitive information – Departmental security and Government of Canada Secret Infrastructure pages "/>
        <s v="P3 - March 21? - Statutory declaration in lieu of guarantor for RTD/CofIs "/>
        <s v="P3 - March 27, 4pm - CX: Forms Catalogue Update (IMM 0267, 0268, 0270, 0271, 0272, 0273 E&amp;F) - New PDF forms to be added"/>
        <s v="P3 - May 2 - 2025-044 - OP 16 / ENF 32 / IP 12, Passports and Travel Documents"/>
        <s v="P3 - May 2, 4pm - CX: Changes to the HR Analytics Connexion Page"/>
        <s v="P3 - May 9, 4pm - CX: Update to PHSC Member's Page"/>
        <s v="P3 - Quick - Image Replacement - IEC Stakeholder Toolkit - Staged Apr 4"/>
        <s v="P3 - QUICK - Remove existing image from site - IEC"/>
        <s v="P3, April 14, COB   PCIL-eSwatini"/>
        <s v="P3, March 17th, COB   PCIL - Guam (new)"/>
        <s v="P3, May 5, COB    Crim Inadmissibility Tool PDF"/>
        <s v="PUB-00281-TW-HWIP-Operational Reminder - Automatic Cancellation of Immigration Status Documents"/>
        <s v="RE: [P2 - March 31] Passage: Upload latest version of PPM"/>
        <s v="RE: Broken link for courses"/>
        <s v="RE: For posting (P1, April 25): HCWIP - What happens when alternate format caps are full"/>
        <s v="RE: For posting (P1, COB today): HCWIP HS - out of status cap update "/>
        <s v="RE: High SLA/high priority CX request - live by COB Apr 2"/>
        <s v="RE: Immigration Story not appearing among most recent stories"/>
        <s v="RE: Inquiry about missing content on IEC pages"/>
        <s v="RE: P1 - (April 24 COB) - Citizenship - FGL extension to Nov"/>
        <s v="RE: P1 - ADMO Phoenix class action - Today at 12PM"/>
        <s v="RE: P1 - April 1 - Sudan PSR TPP"/>
        <s v="RE: P1 - April 10, 9am - CX page removal and update: Economic, Family and Social Immigration Sector page"/>
        <s v="RE: P1 - April 11th - Minor updates to PR card and PRTD pages"/>
        <s v="RE: P1 - April 14, 4pm - CX: Add the latest link for R33.03 Release Notes on Connexion + Update the Release date for the GCMS R34.00 on Connexion"/>
        <s v="RE: P1 - April 24, noon - Bouchard notice"/>
        <s v="RE: P1 - April 8 - Remove T@ Caretaker convention banner"/>
        <s v="RE: P1 - EOD Tomorrow  - New feature on asylum pages"/>
        <s v="RE: P1 - EOD Tomorrow (April 3rd) - New Sudan page"/>
        <s v="RE: P1 due COB Apr 4 (low complexity) - Remove CLB assessment reference"/>
        <s v="RE: P1 web request - April 1 - Ukraine - end of settlement services"/>
        <s v="RE: P1: April 9 - Today@IRCC Protecting Democracy"/>
        <s v="RE: P1-April 11-2 pm"/>
        <s v="RE: P2 - April 11, 4pm - CX: CX-Update GCs Chart of Accounts"/>
        <s v="RE: P2 - April 18, 4pm - Connexion Jobs: Informal Conflict Management Practitioner - PE-04 "/>
        <s v="RE: P2 - April 24, 2025 - Page updates - Key contact page"/>
        <s v="RE: P2 - April 28, 4pm - CX: CX-Update Acquisition Card Procedure and Orientation Tool"/>
        <s v="RE: P2 - April 3 - PUB-00267-WHIP-IMP-Specific Quebec Selection Certificate (CSQ) holders currently in Quebec [R205(a) – A73]"/>
        <s v="RE: P2 - April 8 - PUB-00277-WHIP-IMP-Residential summer camp counsellors [R205(b) – C24] "/>
        <s v="RE: P2 - March 17 - PUB-00270-WHIP-TRP-Updated VTIP TRP and FV TRP PDIs (from new MIs and PP)"/>
        <s v="RE: P2 - March 18 - PUB-00247-ISB-ISP Regulation Amendments"/>
        <s v="RE: P2 - Today COB - Ombuds edits"/>
        <s v="RE: P2 (Apr 10) - Fees - JSON data file update"/>
        <s v="RE: P2- April 15, 10am- Events to be posted 1/2"/>
        <s v="RE: P2- April 15, 10am- Events to be posted 2/2 "/>
        <s v="RE: P2- April 15, 1pm- Events to be posted 1/2"/>
        <s v="RE: P2- April 15, 1pm- Events to be posted 2/2 "/>
        <s v="RE: P2- April 8, 2pm- Events to be posted "/>
        <s v="RE: P2- April 8, 3pm- Events to be posted 1/2"/>
        <s v="RE: P2- April 8, 3pm Events to be posted 2/2 "/>
        <s v="RE: P2- March 21, 11am- Events to be posted 2/2 "/>
        <s v="RE: P2- May 30, 10am- Twentieth meeting of the Compliance Committee under the Cartagena Protocol on Biosafety"/>
        <s v="RE: P2-April 1 -Kings Medal"/>
        <s v="RE: P3 - Interpreters List update - April 4th 2025"/>
        <s v="RE: P3 - May 1, 4pm - CX: PMA Banner removal"/>
        <s v="RE: P3, May 1, COB   PCIL - Turks and Caicos"/>
        <s v="RE: Urgent asylum STAT correction incoming "/>
        <s v="RE: URGENT: P1 - COB MAR 14 - Today@ IRCC FPM2025 Immigration Fraud Kenya"/>
        <s v="RUSH P1 - Today@IRCC Article - Multi-Factor Authentication - Secure Keys"/>
        <s v="URGENT - P1 - April 1 at 10:00 a.m. - T@ Message -CDI"/>
        <s v="URGENT - P1 - April 2 at 10:00 a.m. - T@ Message - Farewell"/>
        <s v="URGENT - P1 - April 2 at 11:30 a.m. - T@ Message - Functional Message "/>
        <s v="URGENT - P1 - April 2 at 9:30 a.m. - T@ Message - Org Chart"/>
        <s v="URGENT CX Request: home page banner addition – P1 – Go live on April 16, 2025"/>
      </sharedItems>
    </cacheField>
    <cacheField name="Triager" numFmtId="0">
      <sharedItems containsBlank="1" count="4">
        <s v="Linh To"/>
        <s v="Patricia Danochristos"/>
        <m/>
        <s v="Maninder pal Kaur"/>
      </sharedItems>
    </cacheField>
    <cacheField name="Owner" numFmtId="0">
      <sharedItems count="9">
        <s v="Bui.MinhThuy"/>
        <s v="To, Linh (IRCC/IRCC)"/>
        <s v="Bak, Jeongmee (IRCC/IRCC)"/>
        <s v="Kaur, Preetinder (IRCC/IRCC)"/>
        <s v="Kumar.Aman"/>
        <s v="Acevedo, Isabel (IRCC/IRCC)"/>
        <s v="Essiambre, Cynthia (IRCC/IRCC) (she, her | elle, la)"/>
        <s v="Danochristos, Patricia (IRCC/IRCC) (she, her | elle, la)"/>
        <s v="Pal Kaur, Maninder (IRCC/IRCC)"/>
      </sharedItems>
    </cacheField>
    <cacheField name="Type" numFmtId="0">
      <sharedItems count="4">
        <s v="Update"/>
        <s v="Info Request"/>
        <s v="Files Upload"/>
        <s v="Crisis"/>
      </sharedItems>
    </cacheField>
    <cacheField name="Complexity" numFmtId="0">
      <sharedItems containsSemiMixedTypes="0" containsString="0" containsNumber="1" containsInteger="1" minValue="1" maxValue="21" count="7">
        <n v="2"/>
        <n v="3"/>
        <n v="1"/>
        <n v="10"/>
        <n v="5"/>
        <n v="21"/>
        <n v="4"/>
      </sharedItems>
    </cacheField>
    <cacheField name="Actual Work" numFmtId="0">
      <sharedItems/>
    </cacheField>
    <cacheField name="Updated Pages" numFmtId="0">
      <sharedItems containsString="0" containsBlank="1" containsNumber="1" containsInteger="1" minValue="1" maxValue="88"/>
    </cacheField>
    <cacheField name="New Pages" numFmtId="0">
      <sharedItems containsString="0" containsBlank="1" containsNumber="1" containsInteger="1" minValue="2" maxValue="10"/>
    </cacheField>
    <cacheField name="Deleted Pages" numFmtId="0">
      <sharedItems containsString="0" containsBlank="1" containsNumber="1" containsInteger="1" minValue="1" maxValue="4"/>
    </cacheField>
    <cacheField name="Supporting Files" numFmtId="0">
      <sharedItems containsString="0" containsBlank="1" containsNumber="1" containsInteger="1" minValue="1" maxValue="31"/>
    </cacheField>
    <cacheField name="Deleted Supporting Files" numFmtId="0">
      <sharedItems containsString="0" containsBlank="1" containsNumber="1" containsInteger="1" minValue="1" maxValue="4"/>
    </cacheField>
    <cacheField name="Created" numFmtId="165">
      <sharedItems containsSemiMixedTypes="0" containsNonDate="0" containsDate="1" containsString="0" minDate="2025-01-15T00:00:00" maxDate="2025-05-01T00:00:00"/>
    </cacheField>
    <cacheField name="Start Date" numFmtId="165">
      <sharedItems containsSemiMixedTypes="0" containsNonDate="0" containsDate="1" containsString="0" minDate="2025-01-17T00:00:00" maxDate="2025-05-01T00:00:00"/>
    </cacheField>
    <cacheField name="Staging Date" numFmtId="165">
      <sharedItems containsSemiMixedTypes="0" containsNonDate="0" containsDate="1" containsString="0" minDate="2025-01-20T00:00:00" maxDate="2025-05-01T00:00:00"/>
    </cacheField>
    <cacheField name="Mandatory-Posting-Date" numFmtId="165">
      <sharedItems containsDate="1" containsMixedTypes="1" minDate="2025-03-06T00:00:00" maxDate="2025-04-12T00:00:00" count="8">
        <s v="None"/>
        <d v="2025-04-03T00:00:00"/>
        <d v="2025-03-24T00:00:00"/>
        <d v="2025-04-07T00:00:00"/>
        <d v="2025-03-06T00:00:00"/>
        <d v="2025-04-11T00:00:00"/>
        <d v="2025-03-21T00:00:00"/>
        <d v="2025-04-01T00:00:00"/>
      </sharedItems>
    </cacheField>
    <cacheField name="Date Completed" numFmtId="165">
      <sharedItems containsSemiMixedTypes="0" containsNonDate="0" containsDate="1" containsString="0" minDate="2025-04-01T00:00:00" maxDate="2025-05-01T00:00:00" count="20">
        <d v="2025-04-28T00:00:00"/>
        <d v="2025-04-24T00:00:00"/>
        <d v="2025-04-22T00:00:00"/>
        <d v="2025-04-09T00:00:00"/>
        <d v="2025-04-11T00:00:00"/>
        <d v="2025-04-10T00:00:00"/>
        <d v="2025-04-15T00:00:00"/>
        <d v="2025-04-16T00:00:00"/>
        <d v="2025-04-01T00:00:00"/>
        <d v="2025-04-23T00:00:00"/>
        <d v="2025-04-25T00:00:00"/>
        <d v="2025-04-04T00:00:00"/>
        <d v="2025-04-07T00:00:00"/>
        <d v="2025-04-29T00:00:00"/>
        <d v="2025-04-30T00:00:00"/>
        <d v="2025-04-02T00:00:00"/>
        <d v="2025-04-14T00:00:00"/>
        <d v="2025-04-17T00:00:00"/>
        <d v="2025-04-03T00:00:00"/>
        <d v="2025-04-08T00:00:00"/>
      </sharedItems>
      <fieldGroup par="46"/>
    </cacheField>
    <cacheField name="Due Date" numFmtId="165">
      <sharedItems containsDate="1" containsMixedTypes="1" minDate="2025-03-05T00:00:00" maxDate="2025-05-09T00:00:00"/>
    </cacheField>
    <cacheField name="QA-by" numFmtId="0">
      <sharedItems containsBlank="1" count="6">
        <m/>
        <s v="Patricia Danochristos "/>
        <s v="Cynthia Essiambre"/>
        <s v="Maninder pal Kaur"/>
        <s v="Linh To"/>
        <s v="Jeongmee Bak"/>
      </sharedItems>
    </cacheField>
    <cacheField name="QA-date" numFmtId="0">
      <sharedItems containsBlank="1" count="4">
        <m/>
        <s v="Apr"/>
        <s v="Mar"/>
        <s v="Jan"/>
      </sharedItems>
    </cacheField>
    <cacheField name="OT Required" numFmtId="0">
      <sharedItems/>
    </cacheField>
    <cacheField name="Last Minute " numFmtId="0">
      <sharedItems count="2">
        <s v="Yes"/>
        <s v="No"/>
      </sharedItems>
    </cacheField>
    <cacheField name="Cancelled" numFmtId="0">
      <sharedItems/>
    </cacheField>
    <cacheField name="Side-by-Side" numFmtId="0">
      <sharedItems count="2">
        <s v="No"/>
        <s v="Yes"/>
      </sharedItems>
    </cacheField>
    <cacheField name="Tracked-Clean" numFmtId="0">
      <sharedItems count="2">
        <s v="No"/>
        <s v="Yes"/>
      </sharedItems>
    </cacheField>
    <cacheField name="Complete-Request" numFmtId="0">
      <sharedItems count="2">
        <s v="No"/>
        <s v="Yes"/>
      </sharedItems>
    </cacheField>
    <cacheField name="Missing Info" numFmtId="0">
      <sharedItems count="2">
        <s v="No"/>
        <s v="Yes"/>
      </sharedItems>
    </cacheField>
    <cacheField name="Unclear Instruction" numFmtId="0">
      <sharedItems count="2">
        <s v="No"/>
        <s v="Yes"/>
      </sharedItems>
    </cacheField>
    <cacheField name="Amendment-Client" numFmtId="0">
      <sharedItems count="2">
        <s v="No"/>
        <s v="Yes"/>
      </sharedItems>
    </cacheField>
    <cacheField name="Flagged-Issues" numFmtId="0">
      <sharedItems containsSemiMixedTypes="0" containsString="0" containsNumber="1" containsInteger="1" minValue="0" maxValue="2" count="3">
        <n v="0"/>
        <n v="1"/>
        <n v="2"/>
      </sharedItems>
    </cacheField>
    <cacheField name="Amendment-QA" numFmtId="0">
      <sharedItems count="2">
        <s v="No"/>
        <s v="Yes"/>
      </sharedItems>
    </cacheField>
    <cacheField name="Bypass-QA" numFmtId="0">
      <sharedItems count="3">
        <s v="Yes"/>
        <s v="Parallel"/>
        <s v="No"/>
      </sharedItems>
    </cacheField>
    <cacheField name="SLA (days)_x000a_Start date to staging date" numFmtId="0">
      <sharedItems containsSemiMixedTypes="0" containsString="0" containsNumber="1" containsInteger="1" minValue="0" maxValue="8"/>
    </cacheField>
    <cacheField name="Staging to Live" numFmtId="0">
      <sharedItems containsSemiMixedTypes="0" containsString="0" containsNumber="1" containsInteger="1" minValue="0" maxValue="69"/>
    </cacheField>
    <cacheField name="Coding days" numFmtId="0">
      <sharedItems containsSemiMixedTypes="0" containsString="0" containsNumber="1" containsInteger="1" minValue="0" maxValue="18"/>
    </cacheField>
    <cacheField name="SLA (%)_x000a_Coding day vs complexity " numFmtId="0">
      <sharedItems count="2">
        <b v="1"/>
        <b v="0"/>
      </sharedItems>
    </cacheField>
    <cacheField name="Meet SLA" numFmtId="0">
      <sharedItems count="1">
        <b v="1"/>
      </sharedItems>
    </cacheField>
    <cacheField name="Flagged Issues" numFmtId="0">
      <sharedItems/>
    </cacheField>
    <cacheField name="Flagged issues # of tasks" numFmtId="0">
      <sharedItems containsMixedTypes="1" containsNumber="1" containsInteger="1" minValue="1" maxValue="2"/>
    </cacheField>
    <cacheField name="Months (Date Completed)" numFmtId="0" databaseField="0">
      <fieldGroup base="22">
        <rangePr groupBy="months" startDate="2025-04-01T00:00:00" endDate="2025-05-01T00:00:00"/>
        <groupItems count="14">
          <s v="&lt;4/1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1/2025"/>
        </groupItems>
      </fieldGroup>
    </cacheField>
    <cacheField name="Quarters (Date Completed)" numFmtId="0" databaseField="0">
      <fieldGroup base="22">
        <rangePr groupBy="quarters" startDate="2025-04-01T00:00:00" endDate="2025-05-01T00:00:00"/>
        <groupItems count="6">
          <s v="&lt;4/1/2025"/>
          <s v="Qtr1"/>
          <s v="Qtr2"/>
          <s v="Qtr3"/>
          <s v="Qtr4"/>
          <s v="&gt;5/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1">
  <r>
    <x v="0"/>
    <s v="High"/>
    <s v="Regular"/>
    <n v="202504281053"/>
    <x v="0"/>
    <x v="0"/>
    <x v="0"/>
    <x v="0"/>
    <x v="0"/>
    <x v="0"/>
    <x v="0"/>
    <x v="0"/>
    <s v="15 minutes"/>
    <n v="6"/>
    <m/>
    <m/>
    <m/>
    <m/>
    <d v="2025-04-28T00:00:00"/>
    <d v="2025-04-28T00:00:00"/>
    <d v="2025-04-28T00:00:00"/>
    <x v="0"/>
    <x v="0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220855"/>
    <x v="1"/>
    <x v="1"/>
    <x v="0"/>
    <x v="1"/>
    <x v="0"/>
    <x v="1"/>
    <x v="0"/>
    <x v="0"/>
    <s v="5 minutes"/>
    <n v="2"/>
    <m/>
    <m/>
    <m/>
    <m/>
    <d v="2025-04-22T00:00:00"/>
    <d v="2025-04-22T00:00:00"/>
    <d v="2025-04-22T00:00:00"/>
    <x v="0"/>
    <x v="1"/>
    <s v="None"/>
    <x v="0"/>
    <x v="0"/>
    <s v="No"/>
    <x v="0"/>
    <s v="No"/>
    <x v="0"/>
    <x v="0"/>
    <x v="0"/>
    <x v="0"/>
    <x v="0"/>
    <x v="0"/>
    <x v="0"/>
    <x v="0"/>
    <x v="0"/>
    <n v="0"/>
    <n v="2"/>
    <n v="0"/>
    <x v="0"/>
    <x v="0"/>
    <s v="OK"/>
    <s v=""/>
  </r>
  <r>
    <x v="0"/>
    <s v="High"/>
    <s v="Regular"/>
    <n v="202504221512"/>
    <x v="2"/>
    <x v="2"/>
    <x v="0"/>
    <x v="2"/>
    <x v="0"/>
    <x v="1"/>
    <x v="0"/>
    <x v="0"/>
    <s v="30 minutes"/>
    <n v="2"/>
    <m/>
    <m/>
    <m/>
    <m/>
    <d v="2025-04-22T00:00:00"/>
    <d v="2025-04-23T00:00:00"/>
    <d v="2025-04-23T00:00:00"/>
    <x v="0"/>
    <x v="1"/>
    <s v="None"/>
    <x v="0"/>
    <x v="0"/>
    <s v="No"/>
    <x v="1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0"/>
    <s v="High"/>
    <s v="Regular"/>
    <n v="202504221414"/>
    <x v="2"/>
    <x v="2"/>
    <x v="0"/>
    <x v="3"/>
    <x v="0"/>
    <x v="0"/>
    <x v="0"/>
    <x v="0"/>
    <s v="10 minutes"/>
    <n v="2"/>
    <m/>
    <m/>
    <n v="1"/>
    <m/>
    <d v="2025-04-22T00:00:00"/>
    <d v="2025-04-22T00:00:00"/>
    <d v="2025-04-22T00:00:00"/>
    <x v="0"/>
    <x v="2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High"/>
    <s v="Regular"/>
    <n v="202504221357"/>
    <x v="2"/>
    <x v="2"/>
    <x v="0"/>
    <x v="4"/>
    <x v="0"/>
    <x v="2"/>
    <x v="0"/>
    <x v="0"/>
    <s v="30 minutes"/>
    <n v="2"/>
    <n v="2"/>
    <m/>
    <n v="2"/>
    <m/>
    <d v="2025-04-22T00:00:00"/>
    <d v="2025-04-22T00:00:00"/>
    <d v="2025-04-22T00:00:00"/>
    <x v="0"/>
    <x v="2"/>
    <s v="None"/>
    <x v="1"/>
    <x v="1"/>
    <s v="No"/>
    <x v="0"/>
    <s v="No"/>
    <x v="0"/>
    <x v="0"/>
    <x v="0"/>
    <x v="0"/>
    <x v="0"/>
    <x v="0"/>
    <x v="0"/>
    <x v="0"/>
    <x v="1"/>
    <n v="0"/>
    <n v="0"/>
    <n v="0"/>
    <x v="0"/>
    <x v="0"/>
    <s v="OK"/>
    <s v=""/>
  </r>
  <r>
    <x v="0"/>
    <s v="High"/>
    <s v="Regular"/>
    <n v="202504091502"/>
    <x v="3"/>
    <x v="0"/>
    <x v="0"/>
    <x v="5"/>
    <x v="0"/>
    <x v="3"/>
    <x v="0"/>
    <x v="0"/>
    <s v="30 minutes"/>
    <n v="2"/>
    <m/>
    <m/>
    <m/>
    <m/>
    <d v="2025-04-09T00:00:00"/>
    <d v="2025-04-09T00:00:00"/>
    <d v="2025-04-09T00:00:00"/>
    <x v="0"/>
    <x v="3"/>
    <s v="None"/>
    <x v="1"/>
    <x v="1"/>
    <s v="No"/>
    <x v="1"/>
    <s v="No"/>
    <x v="0"/>
    <x v="0"/>
    <x v="0"/>
    <x v="0"/>
    <x v="0"/>
    <x v="0"/>
    <x v="0"/>
    <x v="0"/>
    <x v="1"/>
    <n v="0"/>
    <n v="0"/>
    <n v="0"/>
    <x v="0"/>
    <x v="0"/>
    <s v="OK"/>
    <s v=""/>
  </r>
  <r>
    <x v="0"/>
    <s v="High"/>
    <s v="Regular"/>
    <n v="202504111507"/>
    <x v="3"/>
    <x v="0"/>
    <x v="0"/>
    <x v="6"/>
    <x v="0"/>
    <x v="0"/>
    <x v="0"/>
    <x v="0"/>
    <s v="10 minutes"/>
    <n v="2"/>
    <m/>
    <m/>
    <m/>
    <m/>
    <d v="2025-04-11T00:00:00"/>
    <d v="2025-04-11T00:00:00"/>
    <d v="2025-04-11T00:00:00"/>
    <x v="0"/>
    <x v="4"/>
    <s v="None"/>
    <x v="1"/>
    <x v="1"/>
    <s v="No"/>
    <x v="0"/>
    <s v="No"/>
    <x v="0"/>
    <x v="0"/>
    <x v="0"/>
    <x v="0"/>
    <x v="0"/>
    <x v="0"/>
    <x v="0"/>
    <x v="0"/>
    <x v="1"/>
    <n v="0"/>
    <n v="0"/>
    <n v="0"/>
    <x v="0"/>
    <x v="0"/>
    <s v="OK"/>
    <s v=""/>
  </r>
  <r>
    <x v="0"/>
    <s v="High"/>
    <s v="Regular"/>
    <n v="202504101434"/>
    <x v="3"/>
    <x v="0"/>
    <x v="0"/>
    <x v="6"/>
    <x v="0"/>
    <x v="0"/>
    <x v="0"/>
    <x v="0"/>
    <s v="30 minutes"/>
    <n v="2"/>
    <m/>
    <m/>
    <m/>
    <m/>
    <d v="2025-04-10T00:00:00"/>
    <d v="2025-04-10T00:00:00"/>
    <d v="2025-04-10T00:00:00"/>
    <x v="0"/>
    <x v="5"/>
    <s v="None"/>
    <x v="2"/>
    <x v="1"/>
    <s v="No"/>
    <x v="1"/>
    <s v="No"/>
    <x v="0"/>
    <x v="0"/>
    <x v="0"/>
    <x v="0"/>
    <x v="0"/>
    <x v="0"/>
    <x v="0"/>
    <x v="1"/>
    <x v="1"/>
    <n v="0"/>
    <n v="0"/>
    <n v="0"/>
    <x v="0"/>
    <x v="0"/>
    <s v="OK"/>
    <s v=""/>
  </r>
  <r>
    <x v="0"/>
    <s v="Normal"/>
    <s v="Regular"/>
    <n v="202504151511"/>
    <x v="3"/>
    <x v="0"/>
    <x v="0"/>
    <x v="7"/>
    <x v="0"/>
    <x v="2"/>
    <x v="0"/>
    <x v="0"/>
    <s v="15 minutes"/>
    <n v="2"/>
    <m/>
    <m/>
    <m/>
    <m/>
    <d v="2025-04-15T00:00:00"/>
    <d v="2025-04-15T00:00:00"/>
    <d v="2025-04-15T00:00:00"/>
    <x v="0"/>
    <x v="6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High"/>
    <s v="Regular"/>
    <n v="202504161509"/>
    <x v="3"/>
    <x v="0"/>
    <x v="0"/>
    <x v="8"/>
    <x v="0"/>
    <x v="4"/>
    <x v="0"/>
    <x v="0"/>
    <s v="1 hour"/>
    <n v="2"/>
    <m/>
    <m/>
    <m/>
    <m/>
    <d v="2025-04-16T00:00:00"/>
    <d v="2025-04-16T00:00:00"/>
    <d v="2025-04-16T00:00:00"/>
    <x v="0"/>
    <x v="7"/>
    <s v="None"/>
    <x v="2"/>
    <x v="1"/>
    <s v="No"/>
    <x v="1"/>
    <s v="No"/>
    <x v="0"/>
    <x v="0"/>
    <x v="0"/>
    <x v="0"/>
    <x v="0"/>
    <x v="0"/>
    <x v="0"/>
    <x v="0"/>
    <x v="1"/>
    <n v="0"/>
    <n v="0"/>
    <n v="0"/>
    <x v="0"/>
    <x v="0"/>
    <s v="OK"/>
    <s v=""/>
  </r>
  <r>
    <x v="0"/>
    <s v="High"/>
    <s v="Regular"/>
    <n v="202504011508"/>
    <x v="3"/>
    <x v="0"/>
    <x v="0"/>
    <x v="9"/>
    <x v="0"/>
    <x v="2"/>
    <x v="0"/>
    <x v="0"/>
    <s v="40 minutes"/>
    <n v="2"/>
    <m/>
    <m/>
    <m/>
    <m/>
    <d v="2025-04-01T00:00:00"/>
    <d v="2025-04-01T00:00:00"/>
    <d v="2025-04-01T00:00:00"/>
    <x v="0"/>
    <x v="8"/>
    <s v="None"/>
    <x v="1"/>
    <x v="1"/>
    <s v="No"/>
    <x v="0"/>
    <s v="No"/>
    <x v="0"/>
    <x v="0"/>
    <x v="0"/>
    <x v="0"/>
    <x v="0"/>
    <x v="0"/>
    <x v="0"/>
    <x v="1"/>
    <x v="1"/>
    <n v="0"/>
    <n v="0"/>
    <n v="0"/>
    <x v="0"/>
    <x v="0"/>
    <s v="OK"/>
    <s v=""/>
  </r>
  <r>
    <x v="0"/>
    <s v="High"/>
    <s v="Regular"/>
    <n v="202504171517"/>
    <x v="3"/>
    <x v="0"/>
    <x v="0"/>
    <x v="10"/>
    <x v="0"/>
    <x v="3"/>
    <x v="0"/>
    <x v="0"/>
    <s v="20 minutes"/>
    <n v="2"/>
    <m/>
    <m/>
    <m/>
    <m/>
    <d v="2025-04-17T00:00:00"/>
    <d v="2025-04-17T00:00:00"/>
    <d v="2025-04-17T00:00:00"/>
    <x v="0"/>
    <x v="2"/>
    <s v="None"/>
    <x v="1"/>
    <x v="1"/>
    <s v="No"/>
    <x v="0"/>
    <s v="No"/>
    <x v="0"/>
    <x v="0"/>
    <x v="0"/>
    <x v="0"/>
    <x v="0"/>
    <x v="0"/>
    <x v="0"/>
    <x v="1"/>
    <x v="1"/>
    <n v="0"/>
    <n v="1"/>
    <n v="0"/>
    <x v="0"/>
    <x v="0"/>
    <s v="OK"/>
    <s v=""/>
  </r>
  <r>
    <x v="0"/>
    <s v="High"/>
    <s v="Regular"/>
    <n v="202504221538"/>
    <x v="3"/>
    <x v="0"/>
    <x v="0"/>
    <x v="11"/>
    <x v="0"/>
    <x v="0"/>
    <x v="0"/>
    <x v="0"/>
    <s v="10 minutes"/>
    <n v="2"/>
    <m/>
    <m/>
    <m/>
    <m/>
    <d v="2025-04-22T00:00:00"/>
    <d v="2025-04-22T00:00:00"/>
    <d v="2025-04-22T00:00:00"/>
    <x v="0"/>
    <x v="2"/>
    <s v="None"/>
    <x v="3"/>
    <x v="1"/>
    <s v="No"/>
    <x v="0"/>
    <s v="No"/>
    <x v="0"/>
    <x v="0"/>
    <x v="0"/>
    <x v="0"/>
    <x v="0"/>
    <x v="0"/>
    <x v="0"/>
    <x v="0"/>
    <x v="1"/>
    <n v="0"/>
    <n v="0"/>
    <n v="0"/>
    <x v="0"/>
    <x v="0"/>
    <s v="OK"/>
    <s v=""/>
  </r>
  <r>
    <x v="0"/>
    <s v="High"/>
    <s v="Regular"/>
    <n v="202504231501"/>
    <x v="3"/>
    <x v="0"/>
    <x v="0"/>
    <x v="12"/>
    <x v="0"/>
    <x v="0"/>
    <x v="0"/>
    <x v="0"/>
    <s v="10 minutes"/>
    <n v="2"/>
    <m/>
    <m/>
    <m/>
    <m/>
    <d v="2025-04-23T00:00:00"/>
    <d v="2025-04-23T00:00:00"/>
    <d v="2025-04-23T00:00:00"/>
    <x v="0"/>
    <x v="9"/>
    <s v="None"/>
    <x v="1"/>
    <x v="1"/>
    <s v="No"/>
    <x v="1"/>
    <s v="No"/>
    <x v="0"/>
    <x v="0"/>
    <x v="0"/>
    <x v="0"/>
    <x v="0"/>
    <x v="0"/>
    <x v="0"/>
    <x v="0"/>
    <x v="1"/>
    <n v="0"/>
    <n v="0"/>
    <n v="0"/>
    <x v="0"/>
    <x v="0"/>
    <s v="OK"/>
    <s v=""/>
  </r>
  <r>
    <x v="0"/>
    <s v="High"/>
    <s v="Regular"/>
    <n v="202504241512"/>
    <x v="3"/>
    <x v="0"/>
    <x v="0"/>
    <x v="13"/>
    <x v="0"/>
    <x v="5"/>
    <x v="0"/>
    <x v="0"/>
    <s v="30 minutes"/>
    <n v="2"/>
    <m/>
    <m/>
    <m/>
    <m/>
    <d v="2025-04-24T00:00:00"/>
    <d v="2025-04-24T00:00:00"/>
    <d v="2025-04-25T00:00:00"/>
    <x v="0"/>
    <x v="10"/>
    <s v="None"/>
    <x v="1"/>
    <x v="1"/>
    <s v="No"/>
    <x v="1"/>
    <s v="No"/>
    <x v="0"/>
    <x v="0"/>
    <x v="0"/>
    <x v="0"/>
    <x v="0"/>
    <x v="1"/>
    <x v="0"/>
    <x v="1"/>
    <x v="1"/>
    <n v="1"/>
    <n v="0"/>
    <n v="0"/>
    <x v="0"/>
    <x v="0"/>
    <s v="OK"/>
    <s v=""/>
  </r>
  <r>
    <x v="0"/>
    <s v="High"/>
    <s v="Regular"/>
    <n v="202504021505"/>
    <x v="3"/>
    <x v="0"/>
    <x v="0"/>
    <x v="14"/>
    <x v="0"/>
    <x v="0"/>
    <x v="0"/>
    <x v="0"/>
    <s v="20 minutes"/>
    <n v="2"/>
    <m/>
    <m/>
    <m/>
    <m/>
    <d v="2025-04-02T00:00:00"/>
    <d v="2025-04-02T00:00:00"/>
    <d v="2025-04-02T00:00:00"/>
    <x v="0"/>
    <x v="11"/>
    <s v="None"/>
    <x v="2"/>
    <x v="1"/>
    <s v="No"/>
    <x v="1"/>
    <s v="No"/>
    <x v="0"/>
    <x v="0"/>
    <x v="0"/>
    <x v="0"/>
    <x v="1"/>
    <x v="1"/>
    <x v="0"/>
    <x v="0"/>
    <x v="1"/>
    <n v="0"/>
    <n v="2"/>
    <n v="0"/>
    <x v="0"/>
    <x v="0"/>
    <s v="OK"/>
    <s v=""/>
  </r>
  <r>
    <x v="0"/>
    <s v="High"/>
    <s v="Regular"/>
    <n v="202504041504"/>
    <x v="3"/>
    <x v="0"/>
    <x v="0"/>
    <x v="15"/>
    <x v="0"/>
    <x v="2"/>
    <x v="0"/>
    <x v="0"/>
    <s v="40 minutes"/>
    <n v="2"/>
    <m/>
    <m/>
    <m/>
    <m/>
    <d v="2025-04-04T00:00:00"/>
    <d v="2025-04-07T00:00:00"/>
    <d v="2025-04-07T00:00:00"/>
    <x v="0"/>
    <x v="12"/>
    <s v="None"/>
    <x v="1"/>
    <x v="1"/>
    <s v="No"/>
    <x v="1"/>
    <s v="No"/>
    <x v="0"/>
    <x v="0"/>
    <x v="0"/>
    <x v="0"/>
    <x v="0"/>
    <x v="0"/>
    <x v="0"/>
    <x v="0"/>
    <x v="1"/>
    <n v="0"/>
    <n v="0"/>
    <n v="0"/>
    <x v="0"/>
    <x v="0"/>
    <s v="OK"/>
    <s v=""/>
  </r>
  <r>
    <x v="0"/>
    <s v="High"/>
    <s v="Regular"/>
    <n v="202504071505"/>
    <x v="3"/>
    <x v="0"/>
    <x v="0"/>
    <x v="16"/>
    <x v="0"/>
    <x v="2"/>
    <x v="0"/>
    <x v="0"/>
    <s v="40 minutes"/>
    <n v="2"/>
    <m/>
    <m/>
    <m/>
    <m/>
    <d v="2025-04-07T00:00:00"/>
    <d v="2025-04-07T00:00:00"/>
    <d v="2025-04-07T00:00:00"/>
    <x v="0"/>
    <x v="12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High"/>
    <s v="Regular"/>
    <n v="202504081508"/>
    <x v="3"/>
    <x v="0"/>
    <x v="0"/>
    <x v="17"/>
    <x v="0"/>
    <x v="1"/>
    <x v="0"/>
    <x v="0"/>
    <s v="15 minutes"/>
    <n v="2"/>
    <m/>
    <m/>
    <m/>
    <m/>
    <d v="2025-04-08T00:00:00"/>
    <d v="2025-04-09T00:00:00"/>
    <d v="2025-04-09T00:00:00"/>
    <x v="0"/>
    <x v="3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091054"/>
    <x v="4"/>
    <x v="3"/>
    <x v="0"/>
    <x v="18"/>
    <x v="0"/>
    <x v="4"/>
    <x v="0"/>
    <x v="0"/>
    <s v="3.5 hours"/>
    <n v="4"/>
    <n v="2"/>
    <m/>
    <m/>
    <m/>
    <d v="2025-04-09T00:00:00"/>
    <d v="2025-04-09T00:00:00"/>
    <d v="2025-04-09T00:00:00"/>
    <x v="0"/>
    <x v="13"/>
    <s v="None"/>
    <x v="1"/>
    <x v="1"/>
    <s v="No"/>
    <x v="1"/>
    <s v="No"/>
    <x v="0"/>
    <x v="0"/>
    <x v="1"/>
    <x v="0"/>
    <x v="0"/>
    <x v="0"/>
    <x v="0"/>
    <x v="0"/>
    <x v="1"/>
    <n v="0"/>
    <n v="12"/>
    <n v="0"/>
    <x v="0"/>
    <x v="0"/>
    <s v="OK"/>
    <s v=""/>
  </r>
  <r>
    <x v="0"/>
    <s v="Normal"/>
    <s v="Regular"/>
    <n v="202504231106"/>
    <x v="4"/>
    <x v="3"/>
    <x v="0"/>
    <x v="19"/>
    <x v="0"/>
    <x v="3"/>
    <x v="0"/>
    <x v="0"/>
    <s v="3 hours"/>
    <n v="2"/>
    <m/>
    <n v="2"/>
    <n v="1"/>
    <m/>
    <d v="2025-04-23T00:00:00"/>
    <d v="2025-04-25T00:00:00"/>
    <d v="2025-04-29T00:00:00"/>
    <x v="0"/>
    <x v="14"/>
    <s v="None"/>
    <x v="1"/>
    <x v="1"/>
    <s v="No"/>
    <x v="1"/>
    <s v="No"/>
    <x v="1"/>
    <x v="0"/>
    <x v="0"/>
    <x v="0"/>
    <x v="0"/>
    <x v="1"/>
    <x v="0"/>
    <x v="0"/>
    <x v="2"/>
    <n v="2"/>
    <n v="1"/>
    <n v="0"/>
    <x v="0"/>
    <x v="0"/>
    <s v="OK"/>
    <s v=""/>
  </r>
  <r>
    <x v="0"/>
    <s v="Normal"/>
    <s v="Regular"/>
    <n v="202504161408"/>
    <x v="4"/>
    <x v="3"/>
    <x v="0"/>
    <x v="20"/>
    <x v="0"/>
    <x v="1"/>
    <x v="1"/>
    <x v="0"/>
    <s v="1 hour"/>
    <m/>
    <m/>
    <m/>
    <m/>
    <m/>
    <d v="2025-04-16T00:00:00"/>
    <d v="2025-04-16T00:00:00"/>
    <d v="2025-04-16T00:00:00"/>
    <x v="0"/>
    <x v="7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High"/>
    <s v="Regular"/>
    <n v="202504160954"/>
    <x v="5"/>
    <x v="3"/>
    <x v="0"/>
    <x v="21"/>
    <x v="0"/>
    <x v="1"/>
    <x v="0"/>
    <x v="0"/>
    <s v="5 minutes"/>
    <n v="2"/>
    <m/>
    <m/>
    <m/>
    <m/>
    <d v="2025-04-16T00:00:00"/>
    <d v="2025-04-16T00:00:00"/>
    <d v="2025-04-16T00:00:00"/>
    <x v="0"/>
    <x v="7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High"/>
    <s v="Regular"/>
    <n v="202504041351"/>
    <x v="5"/>
    <x v="3"/>
    <x v="0"/>
    <x v="22"/>
    <x v="0"/>
    <x v="3"/>
    <x v="0"/>
    <x v="0"/>
    <s v="30 minutes"/>
    <n v="2"/>
    <m/>
    <m/>
    <n v="1"/>
    <m/>
    <d v="2025-04-04T00:00:00"/>
    <d v="2025-04-04T00:00:00"/>
    <d v="2025-04-04T00:00:00"/>
    <x v="0"/>
    <x v="12"/>
    <s v="None"/>
    <x v="1"/>
    <x v="1"/>
    <s v="No"/>
    <x v="1"/>
    <s v="No"/>
    <x v="0"/>
    <x v="0"/>
    <x v="0"/>
    <x v="0"/>
    <x v="0"/>
    <x v="0"/>
    <x v="0"/>
    <x v="1"/>
    <x v="1"/>
    <n v="0"/>
    <n v="1"/>
    <n v="0"/>
    <x v="0"/>
    <x v="0"/>
    <s v="OK"/>
    <s v=""/>
  </r>
  <r>
    <x v="1"/>
    <s v="High"/>
    <s v="Regular"/>
    <n v="202504071019"/>
    <x v="6"/>
    <x v="1"/>
    <x v="0"/>
    <x v="23"/>
    <x v="0"/>
    <x v="4"/>
    <x v="0"/>
    <x v="0"/>
    <s v="1 hour"/>
    <n v="4"/>
    <m/>
    <m/>
    <m/>
    <m/>
    <d v="2025-04-07T00:00:00"/>
    <d v="2025-04-07T00:00:00"/>
    <d v="2025-04-07T00:00:00"/>
    <x v="0"/>
    <x v="12"/>
    <s v="None"/>
    <x v="1"/>
    <x v="1"/>
    <s v="No"/>
    <x v="0"/>
    <s v="No"/>
    <x v="0"/>
    <x v="0"/>
    <x v="0"/>
    <x v="0"/>
    <x v="0"/>
    <x v="1"/>
    <x v="1"/>
    <x v="0"/>
    <x v="1"/>
    <n v="0"/>
    <n v="0"/>
    <n v="0"/>
    <x v="0"/>
    <x v="0"/>
    <s v="OK"/>
    <n v="1"/>
  </r>
  <r>
    <x v="1"/>
    <s v="High"/>
    <s v="Regular"/>
    <n v="202504031349"/>
    <x v="6"/>
    <x v="1"/>
    <x v="0"/>
    <x v="24"/>
    <x v="0"/>
    <x v="0"/>
    <x v="0"/>
    <x v="0"/>
    <s v="30 minutes"/>
    <n v="3"/>
    <m/>
    <m/>
    <m/>
    <m/>
    <d v="2025-04-03T00:00:00"/>
    <d v="2025-04-03T00:00:00"/>
    <d v="2025-04-03T00:00:00"/>
    <x v="0"/>
    <x v="4"/>
    <s v="None"/>
    <x v="1"/>
    <x v="1"/>
    <s v="No"/>
    <x v="0"/>
    <s v="No"/>
    <x v="0"/>
    <x v="0"/>
    <x v="0"/>
    <x v="0"/>
    <x v="0"/>
    <x v="0"/>
    <x v="0"/>
    <x v="0"/>
    <x v="1"/>
    <n v="0"/>
    <n v="6"/>
    <n v="0"/>
    <x v="0"/>
    <x v="0"/>
    <s v="OK"/>
    <s v=""/>
  </r>
  <r>
    <x v="1"/>
    <s v="High"/>
    <s v="Regular"/>
    <n v="2025041100935"/>
    <x v="6"/>
    <x v="1"/>
    <x v="0"/>
    <x v="25"/>
    <x v="0"/>
    <x v="0"/>
    <x v="0"/>
    <x v="1"/>
    <s v="2 hours"/>
    <n v="14"/>
    <m/>
    <m/>
    <m/>
    <m/>
    <d v="2025-04-11T00:00:00"/>
    <d v="2025-04-11T00:00:00"/>
    <d v="2025-04-11T00:00:00"/>
    <x v="0"/>
    <x v="2"/>
    <s v="None"/>
    <x v="1"/>
    <x v="1"/>
    <s v="No"/>
    <x v="0"/>
    <s v="No"/>
    <x v="1"/>
    <x v="1"/>
    <x v="1"/>
    <x v="0"/>
    <x v="0"/>
    <x v="1"/>
    <x v="0"/>
    <x v="0"/>
    <x v="1"/>
    <n v="0"/>
    <n v="5"/>
    <n v="0"/>
    <x v="0"/>
    <x v="0"/>
    <s v="OK"/>
    <s v=""/>
  </r>
  <r>
    <x v="1"/>
    <s v="High"/>
    <s v="Regular"/>
    <n v="202504091355"/>
    <x v="6"/>
    <x v="1"/>
    <x v="0"/>
    <x v="26"/>
    <x v="0"/>
    <x v="4"/>
    <x v="0"/>
    <x v="0"/>
    <s v="1.5 hours"/>
    <n v="4"/>
    <m/>
    <m/>
    <m/>
    <m/>
    <d v="2025-04-09T00:00:00"/>
    <d v="2025-04-09T00:00:00"/>
    <d v="2025-04-09T00:00:00"/>
    <x v="0"/>
    <x v="3"/>
    <s v="None"/>
    <x v="1"/>
    <x v="1"/>
    <s v="No"/>
    <x v="0"/>
    <s v="No"/>
    <x v="0"/>
    <x v="0"/>
    <x v="0"/>
    <x v="0"/>
    <x v="0"/>
    <x v="1"/>
    <x v="0"/>
    <x v="0"/>
    <x v="1"/>
    <n v="0"/>
    <n v="0"/>
    <n v="0"/>
    <x v="0"/>
    <x v="0"/>
    <s v="OK"/>
    <s v=""/>
  </r>
  <r>
    <x v="1"/>
    <s v="High"/>
    <s v="Regular"/>
    <n v="202504290903"/>
    <x v="7"/>
    <x v="4"/>
    <x v="0"/>
    <x v="27"/>
    <x v="0"/>
    <x v="6"/>
    <x v="0"/>
    <x v="2"/>
    <s v="10 minutes"/>
    <n v="1"/>
    <m/>
    <m/>
    <m/>
    <m/>
    <d v="2025-04-29T00:00:00"/>
    <d v="2025-04-29T00:00:00"/>
    <d v="2025-04-29T00:00:00"/>
    <x v="0"/>
    <x v="13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High"/>
    <s v="Regular"/>
    <n v="202503281342"/>
    <x v="8"/>
    <x v="3"/>
    <x v="0"/>
    <x v="28"/>
    <x v="0"/>
    <x v="5"/>
    <x v="0"/>
    <x v="1"/>
    <s v="2 hours"/>
    <n v="10"/>
    <m/>
    <m/>
    <m/>
    <m/>
    <d v="2025-03-28T00:00:00"/>
    <d v="2025-03-31T00:00:00"/>
    <d v="2025-04-01T00:00:00"/>
    <x v="0"/>
    <x v="2"/>
    <s v="None"/>
    <x v="1"/>
    <x v="1"/>
    <s v="No"/>
    <x v="0"/>
    <s v="No"/>
    <x v="0"/>
    <x v="0"/>
    <x v="0"/>
    <x v="0"/>
    <x v="0"/>
    <x v="1"/>
    <x v="0"/>
    <x v="1"/>
    <x v="1"/>
    <n v="1"/>
    <n v="13"/>
    <n v="0"/>
    <x v="0"/>
    <x v="0"/>
    <s v="OK"/>
    <s v=""/>
  </r>
  <r>
    <x v="1"/>
    <s v="High"/>
    <s v="Regular"/>
    <n v="202503311533"/>
    <x v="6"/>
    <x v="1"/>
    <x v="0"/>
    <x v="29"/>
    <x v="0"/>
    <x v="1"/>
    <x v="0"/>
    <x v="0"/>
    <s v="15 minutes"/>
    <n v="4"/>
    <m/>
    <m/>
    <m/>
    <m/>
    <d v="2025-03-31T00:00:00"/>
    <d v="2025-03-31T00:00:00"/>
    <d v="2025-03-31T00:00:00"/>
    <x v="0"/>
    <x v="8"/>
    <s v="None"/>
    <x v="0"/>
    <x v="0"/>
    <s v="No"/>
    <x v="0"/>
    <s v="No"/>
    <x v="0"/>
    <x v="0"/>
    <x v="0"/>
    <x v="0"/>
    <x v="0"/>
    <x v="1"/>
    <x v="0"/>
    <x v="0"/>
    <x v="0"/>
    <n v="0"/>
    <n v="1"/>
    <n v="0"/>
    <x v="0"/>
    <x v="0"/>
    <s v="OK"/>
    <s v=""/>
  </r>
  <r>
    <x v="0"/>
    <s v="High"/>
    <s v="Regular"/>
    <n v="202504021504"/>
    <x v="9"/>
    <x v="3"/>
    <x v="0"/>
    <x v="30"/>
    <x v="0"/>
    <x v="0"/>
    <x v="0"/>
    <x v="0"/>
    <s v="30 minutes"/>
    <n v="2"/>
    <n v="2"/>
    <m/>
    <m/>
    <m/>
    <d v="2025-04-02T00:00:00"/>
    <d v="2025-04-02T00:00:00"/>
    <d v="2025-04-02T00:00:00"/>
    <x v="0"/>
    <x v="15"/>
    <s v="None"/>
    <x v="1"/>
    <x v="1"/>
    <s v="No"/>
    <x v="0"/>
    <s v="No"/>
    <x v="0"/>
    <x v="0"/>
    <x v="0"/>
    <x v="0"/>
    <x v="0"/>
    <x v="1"/>
    <x v="0"/>
    <x v="0"/>
    <x v="1"/>
    <n v="0"/>
    <n v="0"/>
    <n v="0"/>
    <x v="0"/>
    <x v="0"/>
    <s v="OK"/>
    <s v=""/>
  </r>
  <r>
    <x v="1"/>
    <s v="Normal"/>
    <s v="Regular"/>
    <n v="202504161442"/>
    <x v="10"/>
    <x v="1"/>
    <x v="0"/>
    <x v="31"/>
    <x v="0"/>
    <x v="6"/>
    <x v="1"/>
    <x v="0"/>
    <s v="1 hour"/>
    <m/>
    <m/>
    <m/>
    <m/>
    <m/>
    <d v="2025-04-16T00:00:00"/>
    <d v="2025-04-16T00:00:00"/>
    <d v="2025-04-16T00:00:00"/>
    <x v="0"/>
    <x v="14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3270841"/>
    <x v="11"/>
    <x v="0"/>
    <x v="0"/>
    <x v="32"/>
    <x v="0"/>
    <x v="0"/>
    <x v="0"/>
    <x v="0"/>
    <s v="20 minutes"/>
    <n v="2"/>
    <m/>
    <m/>
    <n v="8"/>
    <m/>
    <d v="2025-03-27T00:00:00"/>
    <d v="2025-04-02T00:00:00"/>
    <d v="2025-04-03T00:00:00"/>
    <x v="0"/>
    <x v="12"/>
    <s v="None"/>
    <x v="0"/>
    <x v="0"/>
    <s v="No"/>
    <x v="1"/>
    <s v="No"/>
    <x v="0"/>
    <x v="0"/>
    <x v="0"/>
    <x v="0"/>
    <x v="0"/>
    <x v="0"/>
    <x v="0"/>
    <x v="0"/>
    <x v="0"/>
    <n v="1"/>
    <n v="2"/>
    <n v="0"/>
    <x v="0"/>
    <x v="0"/>
    <s v="OK"/>
    <s v=""/>
  </r>
  <r>
    <x v="0"/>
    <s v="Normal"/>
    <s v="Regular"/>
    <n v="202503201310"/>
    <x v="11"/>
    <x v="0"/>
    <x v="0"/>
    <x v="33"/>
    <x v="1"/>
    <x v="5"/>
    <x v="0"/>
    <x v="2"/>
    <s v="15 minutes"/>
    <n v="4"/>
    <m/>
    <m/>
    <n v="2"/>
    <m/>
    <d v="2025-03-20T00:00:00"/>
    <d v="2025-04-03T00:00:00"/>
    <d v="2025-04-03T00:00:00"/>
    <x v="1"/>
    <x v="12"/>
    <d v="2025-04-03T00:00:00"/>
    <x v="0"/>
    <x v="0"/>
    <s v="No"/>
    <x v="1"/>
    <s v="No"/>
    <x v="0"/>
    <x v="0"/>
    <x v="0"/>
    <x v="0"/>
    <x v="0"/>
    <x v="0"/>
    <x v="0"/>
    <x v="0"/>
    <x v="0"/>
    <n v="0"/>
    <n v="2"/>
    <n v="10"/>
    <x v="1"/>
    <x v="0"/>
    <s v="OK"/>
    <s v=""/>
  </r>
  <r>
    <x v="0"/>
    <s v="Normal"/>
    <s v="Regular"/>
    <n v="202504081541"/>
    <x v="11"/>
    <x v="0"/>
    <x v="0"/>
    <x v="34"/>
    <x v="0"/>
    <x v="3"/>
    <x v="0"/>
    <x v="0"/>
    <s v="1 hour"/>
    <n v="4"/>
    <m/>
    <m/>
    <n v="2"/>
    <m/>
    <d v="2025-04-08T00:00:00"/>
    <d v="2025-04-10T00:00:00"/>
    <d v="2025-04-10T00:00:00"/>
    <x v="0"/>
    <x v="4"/>
    <s v="None"/>
    <x v="1"/>
    <x v="1"/>
    <s v="No"/>
    <x v="1"/>
    <s v="No"/>
    <x v="0"/>
    <x v="0"/>
    <x v="0"/>
    <x v="0"/>
    <x v="0"/>
    <x v="0"/>
    <x v="0"/>
    <x v="0"/>
    <x v="1"/>
    <n v="0"/>
    <n v="1"/>
    <n v="0"/>
    <x v="0"/>
    <x v="0"/>
    <s v="OK"/>
    <s v=""/>
  </r>
  <r>
    <x v="0"/>
    <s v="Normal"/>
    <s v="Regular"/>
    <n v="202504161019"/>
    <x v="11"/>
    <x v="0"/>
    <x v="0"/>
    <x v="35"/>
    <x v="0"/>
    <x v="7"/>
    <x v="2"/>
    <x v="0"/>
    <s v="5 minutes"/>
    <m/>
    <m/>
    <m/>
    <n v="1"/>
    <m/>
    <d v="2025-04-16T00:00:00"/>
    <d v="2025-04-23T00:00:00"/>
    <d v="2025-04-23T00:00:00"/>
    <x v="0"/>
    <x v="1"/>
    <s v="None"/>
    <x v="0"/>
    <x v="0"/>
    <s v="No"/>
    <x v="1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0"/>
    <s v="Normal"/>
    <s v="Regular"/>
    <n v="202504281108"/>
    <x v="11"/>
    <x v="0"/>
    <x v="0"/>
    <x v="36"/>
    <x v="0"/>
    <x v="3"/>
    <x v="0"/>
    <x v="0"/>
    <s v="1 hour"/>
    <n v="4"/>
    <m/>
    <m/>
    <n v="2"/>
    <m/>
    <d v="2025-04-28T00:00:00"/>
    <d v="2025-04-28T00:00:00"/>
    <d v="2025-04-29T00:00:00"/>
    <x v="0"/>
    <x v="14"/>
    <s v="None"/>
    <x v="0"/>
    <x v="0"/>
    <s v="No"/>
    <x v="1"/>
    <s v="No"/>
    <x v="0"/>
    <x v="0"/>
    <x v="0"/>
    <x v="0"/>
    <x v="0"/>
    <x v="0"/>
    <x v="0"/>
    <x v="0"/>
    <x v="0"/>
    <n v="1"/>
    <n v="1"/>
    <n v="0"/>
    <x v="0"/>
    <x v="0"/>
    <s v="OK"/>
    <s v=""/>
  </r>
  <r>
    <x v="0"/>
    <s v="Normal"/>
    <s v="Regular"/>
    <n v="202504221426"/>
    <x v="8"/>
    <x v="3"/>
    <x v="0"/>
    <x v="37"/>
    <x v="0"/>
    <x v="3"/>
    <x v="0"/>
    <x v="0"/>
    <s v="1 hour"/>
    <n v="6"/>
    <m/>
    <m/>
    <m/>
    <m/>
    <d v="2025-04-22T00:00:00"/>
    <d v="2025-04-23T00:00:00"/>
    <d v="2025-04-23T00:00:00"/>
    <x v="0"/>
    <x v="14"/>
    <s v="None"/>
    <x v="0"/>
    <x v="0"/>
    <s v="No"/>
    <x v="1"/>
    <s v="No"/>
    <x v="0"/>
    <x v="0"/>
    <x v="0"/>
    <x v="0"/>
    <x v="0"/>
    <x v="1"/>
    <x v="0"/>
    <x v="0"/>
    <x v="0"/>
    <n v="0"/>
    <n v="5"/>
    <n v="0"/>
    <x v="0"/>
    <x v="0"/>
    <s v="OK"/>
    <s v=""/>
  </r>
  <r>
    <x v="1"/>
    <s v="High"/>
    <s v="Regular"/>
    <n v="202504151419"/>
    <x v="12"/>
    <x v="1"/>
    <x v="1"/>
    <x v="38"/>
    <x v="0"/>
    <x v="3"/>
    <x v="0"/>
    <x v="0"/>
    <s v="30 minutes"/>
    <n v="4"/>
    <m/>
    <m/>
    <m/>
    <n v="2"/>
    <d v="2025-04-15T00:00:00"/>
    <d v="2025-04-16T00:00:00"/>
    <d v="2025-04-16T00:00:00"/>
    <x v="0"/>
    <x v="7"/>
    <s v="None"/>
    <x v="0"/>
    <x v="0"/>
    <s v="No"/>
    <x v="0"/>
    <s v="No"/>
    <x v="0"/>
    <x v="0"/>
    <x v="0"/>
    <x v="0"/>
    <x v="0"/>
    <x v="1"/>
    <x v="0"/>
    <x v="0"/>
    <x v="0"/>
    <n v="0"/>
    <n v="0"/>
    <n v="0"/>
    <x v="0"/>
    <x v="0"/>
    <s v="OK"/>
    <s v=""/>
  </r>
  <r>
    <x v="0"/>
    <s v="High"/>
    <s v="Regular"/>
    <n v="202504170949"/>
    <x v="13"/>
    <x v="2"/>
    <x v="0"/>
    <x v="39"/>
    <x v="0"/>
    <x v="3"/>
    <x v="0"/>
    <x v="0"/>
    <s v="1.5 hours"/>
    <n v="2"/>
    <m/>
    <m/>
    <m/>
    <m/>
    <d v="2025-04-17T00:00:00"/>
    <d v="2025-04-23T00:00:00"/>
    <d v="2025-04-24T00:00:00"/>
    <x v="0"/>
    <x v="1"/>
    <s v="None"/>
    <x v="1"/>
    <x v="1"/>
    <s v="No"/>
    <x v="1"/>
    <s v="No"/>
    <x v="0"/>
    <x v="0"/>
    <x v="0"/>
    <x v="1"/>
    <x v="0"/>
    <x v="0"/>
    <x v="0"/>
    <x v="1"/>
    <x v="2"/>
    <n v="1"/>
    <n v="0"/>
    <n v="0"/>
    <x v="0"/>
    <x v="0"/>
    <s v="OK"/>
    <s v=""/>
  </r>
  <r>
    <x v="0"/>
    <s v="High"/>
    <s v="Regular"/>
    <n v="202503280844"/>
    <x v="14"/>
    <x v="3"/>
    <x v="0"/>
    <x v="40"/>
    <x v="0"/>
    <x v="1"/>
    <x v="0"/>
    <x v="0"/>
    <s v="10 minutes"/>
    <n v="2"/>
    <m/>
    <m/>
    <m/>
    <m/>
    <d v="2025-03-28T00:00:00"/>
    <d v="2025-03-28T00:00:00"/>
    <d v="2025-03-28T00:00:00"/>
    <x v="0"/>
    <x v="8"/>
    <s v="None"/>
    <x v="0"/>
    <x v="0"/>
    <s v="No"/>
    <x v="0"/>
    <s v="No"/>
    <x v="0"/>
    <x v="0"/>
    <x v="0"/>
    <x v="0"/>
    <x v="0"/>
    <x v="0"/>
    <x v="0"/>
    <x v="0"/>
    <x v="0"/>
    <n v="0"/>
    <n v="2"/>
    <n v="0"/>
    <x v="0"/>
    <x v="0"/>
    <s v="OK"/>
    <s v=""/>
  </r>
  <r>
    <x v="1"/>
    <s v="High"/>
    <s v="Regular"/>
    <n v="202503261016"/>
    <x v="15"/>
    <x v="1"/>
    <x v="0"/>
    <x v="41"/>
    <x v="0"/>
    <x v="1"/>
    <x v="0"/>
    <x v="0"/>
    <s v="10 minutes"/>
    <n v="2"/>
    <m/>
    <m/>
    <m/>
    <m/>
    <d v="2025-03-26T00:00:00"/>
    <d v="2025-03-27T00:00:00"/>
    <d v="2025-03-27T00:00:00"/>
    <x v="0"/>
    <x v="11"/>
    <s v="None"/>
    <x v="0"/>
    <x v="0"/>
    <s v="No"/>
    <x v="0"/>
    <s v="No"/>
    <x v="0"/>
    <x v="0"/>
    <x v="0"/>
    <x v="0"/>
    <x v="0"/>
    <x v="0"/>
    <x v="0"/>
    <x v="0"/>
    <x v="0"/>
    <n v="0"/>
    <n v="6"/>
    <n v="0"/>
    <x v="0"/>
    <x v="0"/>
    <s v="OK"/>
    <s v=""/>
  </r>
  <r>
    <x v="1"/>
    <s v="High"/>
    <s v="Regular"/>
    <n v="202504100922"/>
    <x v="1"/>
    <x v="1"/>
    <x v="0"/>
    <x v="42"/>
    <x v="0"/>
    <x v="3"/>
    <x v="0"/>
    <x v="0"/>
    <s v="1 hour"/>
    <n v="1"/>
    <m/>
    <m/>
    <m/>
    <m/>
    <d v="2025-04-10T00:00:00"/>
    <d v="2025-04-10T00:00:00"/>
    <d v="2025-04-10T00:00:00"/>
    <x v="0"/>
    <x v="5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111340"/>
    <x v="16"/>
    <x v="1"/>
    <x v="0"/>
    <x v="43"/>
    <x v="0"/>
    <x v="1"/>
    <x v="0"/>
    <x v="0"/>
    <s v="20 minutes"/>
    <n v="1"/>
    <m/>
    <m/>
    <m/>
    <m/>
    <d v="2025-04-11T00:00:00"/>
    <d v="2025-04-11T00:00:00"/>
    <d v="2025-04-11T00:00:00"/>
    <x v="0"/>
    <x v="4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110836"/>
    <x v="15"/>
    <x v="1"/>
    <x v="0"/>
    <x v="44"/>
    <x v="0"/>
    <x v="3"/>
    <x v="0"/>
    <x v="0"/>
    <s v="1 hour"/>
    <n v="2"/>
    <m/>
    <m/>
    <m/>
    <m/>
    <d v="2025-04-11T00:00:00"/>
    <d v="2025-04-11T00:00:00"/>
    <d v="2025-04-11T00:00:00"/>
    <x v="0"/>
    <x v="16"/>
    <s v="None"/>
    <x v="1"/>
    <x v="1"/>
    <s v="No"/>
    <x v="0"/>
    <s v="No"/>
    <x v="0"/>
    <x v="0"/>
    <x v="0"/>
    <x v="0"/>
    <x v="0"/>
    <x v="1"/>
    <x v="0"/>
    <x v="0"/>
    <x v="1"/>
    <n v="0"/>
    <n v="1"/>
    <n v="0"/>
    <x v="0"/>
    <x v="0"/>
    <s v="OK"/>
    <s v=""/>
  </r>
  <r>
    <x v="0"/>
    <s v="High"/>
    <s v="Regular"/>
    <n v="202504111403"/>
    <x v="17"/>
    <x v="3"/>
    <x v="0"/>
    <x v="45"/>
    <x v="0"/>
    <x v="3"/>
    <x v="0"/>
    <x v="0"/>
    <s v="30 minutes"/>
    <n v="4"/>
    <m/>
    <m/>
    <n v="2"/>
    <m/>
    <d v="2025-04-11T00:00:00"/>
    <d v="2025-04-11T00:00:00"/>
    <d v="2025-04-11T00:00:00"/>
    <x v="0"/>
    <x v="4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High"/>
    <s v="Regular"/>
    <n v="202504141302"/>
    <x v="5"/>
    <x v="3"/>
    <x v="0"/>
    <x v="46"/>
    <x v="0"/>
    <x v="2"/>
    <x v="0"/>
    <x v="0"/>
    <s v="2 hours"/>
    <n v="2"/>
    <n v="2"/>
    <m/>
    <m/>
    <m/>
    <d v="2025-04-14T00:00:00"/>
    <d v="2025-04-14T00:00:00"/>
    <d v="2025-04-14T00:00:00"/>
    <x v="0"/>
    <x v="7"/>
    <s v="None"/>
    <x v="1"/>
    <x v="1"/>
    <s v="No"/>
    <x v="0"/>
    <s v="No"/>
    <x v="0"/>
    <x v="0"/>
    <x v="0"/>
    <x v="0"/>
    <x v="0"/>
    <x v="1"/>
    <x v="0"/>
    <x v="0"/>
    <x v="1"/>
    <n v="0"/>
    <n v="2"/>
    <n v="0"/>
    <x v="0"/>
    <x v="0"/>
    <s v="OK"/>
    <s v=""/>
  </r>
  <r>
    <x v="1"/>
    <s v="High"/>
    <s v="Regular"/>
    <n v="202504110938"/>
    <x v="10"/>
    <x v="1"/>
    <x v="2"/>
    <x v="47"/>
    <x v="0"/>
    <x v="1"/>
    <x v="0"/>
    <x v="0"/>
    <s v="25 minutes"/>
    <n v="10"/>
    <m/>
    <m/>
    <m/>
    <m/>
    <d v="2025-04-11T00:00:00"/>
    <d v="2025-04-14T00:00:00"/>
    <d v="2025-04-14T00:00:00"/>
    <x v="0"/>
    <x v="16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150935"/>
    <x v="16"/>
    <x v="1"/>
    <x v="0"/>
    <x v="48"/>
    <x v="0"/>
    <x v="3"/>
    <x v="0"/>
    <x v="0"/>
    <s v="1 hour"/>
    <n v="2"/>
    <m/>
    <m/>
    <n v="1"/>
    <m/>
    <d v="2025-04-15T00:00:00"/>
    <d v="2025-04-15T00:00:00"/>
    <d v="2025-04-15T00:00:00"/>
    <x v="0"/>
    <x v="6"/>
    <s v="None"/>
    <x v="1"/>
    <x v="1"/>
    <s v="No"/>
    <x v="0"/>
    <s v="No"/>
    <x v="0"/>
    <x v="0"/>
    <x v="0"/>
    <x v="0"/>
    <x v="0"/>
    <x v="0"/>
    <x v="0"/>
    <x v="0"/>
    <x v="1"/>
    <n v="0"/>
    <n v="0"/>
    <n v="0"/>
    <x v="0"/>
    <x v="0"/>
    <s v="OK"/>
    <s v=""/>
  </r>
  <r>
    <x v="0"/>
    <s v="Normal"/>
    <s v="Regular"/>
    <n v="202504140855"/>
    <x v="18"/>
    <x v="5"/>
    <x v="0"/>
    <x v="49"/>
    <x v="0"/>
    <x v="1"/>
    <x v="0"/>
    <x v="0"/>
    <s v="5 minutes"/>
    <n v="2"/>
    <m/>
    <m/>
    <m/>
    <m/>
    <d v="2025-04-14T00:00:00"/>
    <d v="2025-04-14T00:00:00"/>
    <d v="2025-04-14T00:00:00"/>
    <x v="0"/>
    <x v="16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160901"/>
    <x v="19"/>
    <x v="1"/>
    <x v="0"/>
    <x v="50"/>
    <x v="0"/>
    <x v="3"/>
    <x v="0"/>
    <x v="0"/>
    <s v="1.5 hours"/>
    <n v="4"/>
    <m/>
    <m/>
    <m/>
    <m/>
    <d v="2025-04-16T00:00:00"/>
    <d v="2025-04-16T00:00:00"/>
    <d v="2025-04-16T00:00:00"/>
    <x v="0"/>
    <x v="17"/>
    <s v="None"/>
    <x v="1"/>
    <x v="1"/>
    <s v="No"/>
    <x v="0"/>
    <s v="No"/>
    <x v="0"/>
    <x v="0"/>
    <x v="0"/>
    <x v="0"/>
    <x v="0"/>
    <x v="1"/>
    <x v="0"/>
    <x v="0"/>
    <x v="1"/>
    <n v="0"/>
    <n v="1"/>
    <n v="0"/>
    <x v="0"/>
    <x v="0"/>
    <s v="OK"/>
    <s v=""/>
  </r>
  <r>
    <x v="1"/>
    <s v="High"/>
    <s v="Regular"/>
    <n v="202503311143"/>
    <x v="10"/>
    <x v="1"/>
    <x v="0"/>
    <x v="51"/>
    <x v="0"/>
    <x v="1"/>
    <x v="0"/>
    <x v="0"/>
    <s v="15 minutes"/>
    <n v="3"/>
    <m/>
    <m/>
    <m/>
    <m/>
    <d v="2025-03-31T00:00:00"/>
    <d v="2025-04-01T00:00:00"/>
    <d v="2025-04-01T00:00:00"/>
    <x v="0"/>
    <x v="15"/>
    <s v="None"/>
    <x v="0"/>
    <x v="0"/>
    <s v="No"/>
    <x v="0"/>
    <s v="No"/>
    <x v="1"/>
    <x v="0"/>
    <x v="0"/>
    <x v="0"/>
    <x v="0"/>
    <x v="0"/>
    <x v="0"/>
    <x v="0"/>
    <x v="0"/>
    <n v="0"/>
    <n v="1"/>
    <n v="0"/>
    <x v="0"/>
    <x v="0"/>
    <s v="OK"/>
    <s v=""/>
  </r>
  <r>
    <x v="0"/>
    <s v="High"/>
    <s v="Regular"/>
    <n v="202504221310"/>
    <x v="20"/>
    <x v="2"/>
    <x v="0"/>
    <x v="52"/>
    <x v="0"/>
    <x v="0"/>
    <x v="0"/>
    <x v="0"/>
    <s v="15 minutes"/>
    <n v="2"/>
    <m/>
    <n v="2"/>
    <m/>
    <m/>
    <d v="2025-04-22T00:00:00"/>
    <d v="2025-04-22T00:00:00"/>
    <d v="2025-04-22T00:00:00"/>
    <x v="0"/>
    <x v="2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230910"/>
    <x v="16"/>
    <x v="1"/>
    <x v="0"/>
    <x v="53"/>
    <x v="0"/>
    <x v="0"/>
    <x v="0"/>
    <x v="0"/>
    <s v="20 minutes"/>
    <n v="1"/>
    <m/>
    <m/>
    <m/>
    <m/>
    <d v="2025-04-23T00:00:00"/>
    <d v="2025-04-23T00:00:00"/>
    <d v="2025-04-23T00:00:00"/>
    <x v="0"/>
    <x v="9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251436"/>
    <x v="19"/>
    <x v="1"/>
    <x v="0"/>
    <x v="54"/>
    <x v="0"/>
    <x v="3"/>
    <x v="0"/>
    <x v="0"/>
    <s v="1 hour"/>
    <n v="2"/>
    <m/>
    <m/>
    <m/>
    <m/>
    <d v="2025-04-25T00:00:00"/>
    <d v="2025-04-25T00:00:00"/>
    <d v="2025-04-25T00:00:00"/>
    <x v="0"/>
    <x v="13"/>
    <s v="None"/>
    <x v="1"/>
    <x v="1"/>
    <s v="No"/>
    <x v="0"/>
    <s v="No"/>
    <x v="0"/>
    <x v="0"/>
    <x v="0"/>
    <x v="0"/>
    <x v="0"/>
    <x v="1"/>
    <x v="0"/>
    <x v="0"/>
    <x v="1"/>
    <n v="0"/>
    <n v="2"/>
    <n v="0"/>
    <x v="0"/>
    <x v="0"/>
    <s v="OK"/>
    <s v=""/>
  </r>
  <r>
    <x v="1"/>
    <s v="High"/>
    <s v="Regular"/>
    <n v="202504230946"/>
    <x v="10"/>
    <x v="1"/>
    <x v="0"/>
    <x v="55"/>
    <x v="0"/>
    <x v="4"/>
    <x v="0"/>
    <x v="1"/>
    <s v="5 hours"/>
    <n v="2"/>
    <m/>
    <m/>
    <m/>
    <m/>
    <d v="2025-04-23T00:00:00"/>
    <d v="2025-04-23T00:00:00"/>
    <d v="2025-04-28T00:00:00"/>
    <x v="0"/>
    <x v="14"/>
    <s v="None"/>
    <x v="1"/>
    <x v="1"/>
    <s v="No"/>
    <x v="0"/>
    <s v="No"/>
    <x v="1"/>
    <x v="0"/>
    <x v="0"/>
    <x v="0"/>
    <x v="0"/>
    <x v="1"/>
    <x v="0"/>
    <x v="0"/>
    <x v="1"/>
    <n v="3"/>
    <n v="2"/>
    <n v="0"/>
    <x v="0"/>
    <x v="0"/>
    <s v="OK"/>
    <s v=""/>
  </r>
  <r>
    <x v="0"/>
    <s v="High"/>
    <s v="Regular"/>
    <n v="202504081535"/>
    <x v="5"/>
    <x v="3"/>
    <x v="0"/>
    <x v="56"/>
    <x v="0"/>
    <x v="0"/>
    <x v="0"/>
    <x v="0"/>
    <s v="30 minutes"/>
    <n v="2"/>
    <n v="2"/>
    <m/>
    <m/>
    <m/>
    <d v="2025-04-28T00:00:00"/>
    <d v="2025-04-28T00:00:00"/>
    <d v="2025-04-28T00:00:00"/>
    <x v="0"/>
    <x v="13"/>
    <s v="None"/>
    <x v="4"/>
    <x v="1"/>
    <s v="No"/>
    <x v="0"/>
    <s v="No"/>
    <x v="0"/>
    <x v="0"/>
    <x v="0"/>
    <x v="0"/>
    <x v="1"/>
    <x v="1"/>
    <x v="0"/>
    <x v="0"/>
    <x v="1"/>
    <n v="0"/>
    <n v="1"/>
    <n v="0"/>
    <x v="0"/>
    <x v="0"/>
    <s v="OK"/>
    <s v=""/>
  </r>
  <r>
    <x v="1"/>
    <s v="High"/>
    <s v="Regular"/>
    <n v="202504020922"/>
    <x v="15"/>
    <x v="1"/>
    <x v="0"/>
    <x v="57"/>
    <x v="0"/>
    <x v="1"/>
    <x v="0"/>
    <x v="0"/>
    <s v="5 minutes"/>
    <n v="1"/>
    <m/>
    <m/>
    <m/>
    <m/>
    <d v="2025-04-02T00:00:00"/>
    <d v="2025-04-03T00:00:00"/>
    <d v="2025-04-03T00:00:00"/>
    <x v="0"/>
    <x v="1"/>
    <s v="None"/>
    <x v="0"/>
    <x v="0"/>
    <s v="No"/>
    <x v="0"/>
    <s v="No"/>
    <x v="0"/>
    <x v="0"/>
    <x v="0"/>
    <x v="0"/>
    <x v="0"/>
    <x v="0"/>
    <x v="0"/>
    <x v="0"/>
    <x v="0"/>
    <n v="0"/>
    <n v="13"/>
    <n v="0"/>
    <x v="0"/>
    <x v="0"/>
    <s v="OK"/>
    <s v=""/>
  </r>
  <r>
    <x v="1"/>
    <s v="High"/>
    <s v="Regular"/>
    <n v="202504020832"/>
    <x v="15"/>
    <x v="1"/>
    <x v="0"/>
    <x v="58"/>
    <x v="0"/>
    <x v="1"/>
    <x v="0"/>
    <x v="0"/>
    <s v="10 minutes"/>
    <n v="2"/>
    <m/>
    <m/>
    <m/>
    <m/>
    <d v="2025-04-02T00:00:00"/>
    <d v="2025-04-02T00:00:00"/>
    <d v="2025-04-02T00:00:00"/>
    <x v="0"/>
    <x v="18"/>
    <s v="None"/>
    <x v="0"/>
    <x v="0"/>
    <s v="No"/>
    <x v="0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1"/>
    <s v="High"/>
    <s v="Regular"/>
    <n v="202503311448"/>
    <x v="1"/>
    <x v="1"/>
    <x v="0"/>
    <x v="59"/>
    <x v="0"/>
    <x v="4"/>
    <x v="0"/>
    <x v="0"/>
    <s v="30 minutes"/>
    <m/>
    <m/>
    <m/>
    <n v="1"/>
    <m/>
    <d v="2025-03-31T00:00:00"/>
    <d v="2025-04-02T00:00:00"/>
    <d v="2025-04-02T00:00:00"/>
    <x v="0"/>
    <x v="18"/>
    <s v="None"/>
    <x v="1"/>
    <x v="1"/>
    <s v="No"/>
    <x v="0"/>
    <s v="No"/>
    <x v="0"/>
    <x v="0"/>
    <x v="0"/>
    <x v="0"/>
    <x v="0"/>
    <x v="1"/>
    <x v="0"/>
    <x v="0"/>
    <x v="1"/>
    <n v="0"/>
    <n v="1"/>
    <n v="0"/>
    <x v="0"/>
    <x v="0"/>
    <s v="OK"/>
    <s v=""/>
  </r>
  <r>
    <x v="0"/>
    <s v="High"/>
    <s v="Regular"/>
    <n v="202504031005"/>
    <x v="21"/>
    <x v="3"/>
    <x v="0"/>
    <x v="60"/>
    <x v="0"/>
    <x v="1"/>
    <x v="0"/>
    <x v="0"/>
    <s v="5 minutes"/>
    <n v="1"/>
    <m/>
    <m/>
    <m/>
    <m/>
    <d v="2025-04-03T00:00:00"/>
    <d v="2025-04-03T00:00:00"/>
    <d v="2025-04-03T00:00:00"/>
    <x v="0"/>
    <x v="18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High"/>
    <s v="Regular"/>
    <n v="202504030828"/>
    <x v="21"/>
    <x v="3"/>
    <x v="0"/>
    <x v="61"/>
    <x v="0"/>
    <x v="8"/>
    <x v="0"/>
    <x v="0"/>
    <s v="15 minutes"/>
    <n v="2"/>
    <m/>
    <m/>
    <m/>
    <m/>
    <d v="2025-04-03T00:00:00"/>
    <d v="2025-04-03T00:00:00"/>
    <d v="2025-04-03T00:00:00"/>
    <x v="0"/>
    <x v="18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291433"/>
    <x v="19"/>
    <x v="1"/>
    <x v="0"/>
    <x v="62"/>
    <x v="0"/>
    <x v="1"/>
    <x v="0"/>
    <x v="0"/>
    <s v="5 minutes"/>
    <n v="2"/>
    <m/>
    <m/>
    <m/>
    <m/>
    <d v="2025-04-29T00:00:00"/>
    <d v="2025-04-30T00:00:00"/>
    <d v="2025-04-30T00:00:00"/>
    <x v="0"/>
    <x v="14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291441"/>
    <x v="1"/>
    <x v="1"/>
    <x v="3"/>
    <x v="63"/>
    <x v="0"/>
    <x v="1"/>
    <x v="0"/>
    <x v="0"/>
    <s v="5 minutes"/>
    <n v="2"/>
    <m/>
    <m/>
    <m/>
    <m/>
    <d v="2025-04-29T00:00:00"/>
    <d v="2025-04-30T00:00:00"/>
    <d v="2025-04-30T00:00:00"/>
    <x v="0"/>
    <x v="14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280905"/>
    <x v="22"/>
    <x v="1"/>
    <x v="0"/>
    <x v="64"/>
    <x v="0"/>
    <x v="2"/>
    <x v="3"/>
    <x v="0"/>
    <s v="30 minutes"/>
    <n v="6"/>
    <m/>
    <m/>
    <m/>
    <m/>
    <d v="2025-04-28T00:00:00"/>
    <d v="2025-04-28T00:00:00"/>
    <d v="2025-04-29T00:00:00"/>
    <x v="0"/>
    <x v="14"/>
    <s v="None"/>
    <x v="0"/>
    <x v="0"/>
    <s v="No"/>
    <x v="1"/>
    <s v="No"/>
    <x v="0"/>
    <x v="0"/>
    <x v="0"/>
    <x v="0"/>
    <x v="1"/>
    <x v="1"/>
    <x v="0"/>
    <x v="0"/>
    <x v="0"/>
    <n v="1"/>
    <n v="1"/>
    <n v="0"/>
    <x v="0"/>
    <x v="0"/>
    <s v="OK"/>
    <s v=""/>
  </r>
  <r>
    <x v="1"/>
    <s v="High"/>
    <s v="Regular"/>
    <n v="202504021024"/>
    <x v="10"/>
    <x v="1"/>
    <x v="0"/>
    <x v="65"/>
    <x v="0"/>
    <x v="4"/>
    <x v="0"/>
    <x v="0"/>
    <s v="1.5 hours"/>
    <m/>
    <n v="2"/>
    <m/>
    <m/>
    <m/>
    <d v="2025-04-03T00:00:00"/>
    <d v="2025-04-03T00:00:00"/>
    <d v="2025-04-03T00:00:00"/>
    <x v="0"/>
    <x v="18"/>
    <s v="None"/>
    <x v="1"/>
    <x v="1"/>
    <s v="No"/>
    <x v="0"/>
    <s v="No"/>
    <x v="0"/>
    <x v="0"/>
    <x v="0"/>
    <x v="0"/>
    <x v="0"/>
    <x v="1"/>
    <x v="0"/>
    <x v="1"/>
    <x v="1"/>
    <n v="0"/>
    <n v="0"/>
    <n v="0"/>
    <x v="0"/>
    <x v="0"/>
    <s v="OK"/>
    <s v=""/>
  </r>
  <r>
    <x v="0"/>
    <s v="High"/>
    <s v="Regular"/>
    <n v="202504040930"/>
    <x v="23"/>
    <x v="3"/>
    <x v="0"/>
    <x v="66"/>
    <x v="0"/>
    <x v="1"/>
    <x v="0"/>
    <x v="0"/>
    <s v="5 minutes"/>
    <n v="2"/>
    <m/>
    <m/>
    <m/>
    <m/>
    <d v="2025-04-04T00:00:00"/>
    <d v="2025-04-04T00:00:00"/>
    <d v="2025-04-04T00:00:00"/>
    <x v="0"/>
    <x v="11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3261358"/>
    <x v="22"/>
    <x v="1"/>
    <x v="0"/>
    <x v="67"/>
    <x v="0"/>
    <x v="0"/>
    <x v="3"/>
    <x v="0"/>
    <s v="3 hours"/>
    <n v="8"/>
    <m/>
    <m/>
    <m/>
    <m/>
    <d v="2025-03-26T00:00:00"/>
    <d v="2025-03-31T00:00:00"/>
    <d v="2025-04-02T00:00:00"/>
    <x v="0"/>
    <x v="11"/>
    <s v="None"/>
    <x v="1"/>
    <x v="1"/>
    <s v="No"/>
    <x v="1"/>
    <s v="No"/>
    <x v="0"/>
    <x v="0"/>
    <x v="0"/>
    <x v="1"/>
    <x v="0"/>
    <x v="1"/>
    <x v="0"/>
    <x v="0"/>
    <x v="2"/>
    <n v="2"/>
    <n v="2"/>
    <n v="0"/>
    <x v="0"/>
    <x v="0"/>
    <s v="OK"/>
    <s v=""/>
  </r>
  <r>
    <x v="0"/>
    <s v="High"/>
    <s v="Regular"/>
    <n v="202504040946"/>
    <x v="21"/>
    <x v="3"/>
    <x v="0"/>
    <x v="68"/>
    <x v="0"/>
    <x v="1"/>
    <x v="0"/>
    <x v="0"/>
    <s v="45 minutes"/>
    <n v="6"/>
    <m/>
    <n v="2"/>
    <m/>
    <n v="1"/>
    <d v="2025-04-04T00:00:00"/>
    <d v="2025-04-04T00:00:00"/>
    <d v="2025-04-04T00:00:00"/>
    <x v="0"/>
    <x v="12"/>
    <s v="None"/>
    <x v="0"/>
    <x v="0"/>
    <s v="No"/>
    <x v="0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1"/>
    <s v="High"/>
    <s v="Regular"/>
    <n v="202504031309"/>
    <x v="10"/>
    <x v="1"/>
    <x v="0"/>
    <x v="69"/>
    <x v="0"/>
    <x v="1"/>
    <x v="0"/>
    <x v="0"/>
    <s v="5 minutes"/>
    <n v="1"/>
    <m/>
    <m/>
    <m/>
    <m/>
    <d v="2025-04-03T00:00:00"/>
    <d v="2025-04-03T00:00:00"/>
    <d v="2025-04-03T00:00:00"/>
    <x v="0"/>
    <x v="18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041024"/>
    <x v="24"/>
    <x v="1"/>
    <x v="0"/>
    <x v="70"/>
    <x v="0"/>
    <x v="0"/>
    <x v="0"/>
    <x v="0"/>
    <s v="15 minutes"/>
    <n v="3"/>
    <m/>
    <m/>
    <m/>
    <m/>
    <d v="2025-04-04T00:00:00"/>
    <d v="2025-04-04T00:00:00"/>
    <d v="2025-04-04T00:00:00"/>
    <x v="0"/>
    <x v="12"/>
    <s v="None"/>
    <x v="0"/>
    <x v="0"/>
    <s v="No"/>
    <x v="0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1"/>
    <s v="High"/>
    <s v="Regular"/>
    <n v="202504041017"/>
    <x v="1"/>
    <x v="1"/>
    <x v="0"/>
    <x v="71"/>
    <x v="0"/>
    <x v="2"/>
    <x v="0"/>
    <x v="0"/>
    <s v="15 minutes"/>
    <n v="1"/>
    <m/>
    <m/>
    <m/>
    <m/>
    <d v="2025-04-04T00:00:00"/>
    <d v="2025-04-07T00:00:00"/>
    <d v="2025-04-07T00:00:00"/>
    <x v="0"/>
    <x v="12"/>
    <s v="None"/>
    <x v="1"/>
    <x v="1"/>
    <s v="No"/>
    <x v="0"/>
    <s v="No"/>
    <x v="0"/>
    <x v="0"/>
    <x v="0"/>
    <x v="0"/>
    <x v="0"/>
    <x v="1"/>
    <x v="0"/>
    <x v="0"/>
    <x v="1"/>
    <n v="0"/>
    <n v="0"/>
    <n v="0"/>
    <x v="0"/>
    <x v="0"/>
    <s v="OK"/>
    <s v=""/>
  </r>
  <r>
    <x v="1"/>
    <s v="High"/>
    <s v="Regular"/>
    <n v="202504041053"/>
    <x v="10"/>
    <x v="1"/>
    <x v="0"/>
    <x v="72"/>
    <x v="0"/>
    <x v="1"/>
    <x v="0"/>
    <x v="0"/>
    <s v="5 minutes"/>
    <n v="2"/>
    <m/>
    <m/>
    <m/>
    <m/>
    <d v="2025-04-04T00:00:00"/>
    <d v="2025-04-07T00:00:00"/>
    <d v="2025-04-07T00:00:00"/>
    <x v="0"/>
    <x v="12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High"/>
    <s v="Regular"/>
    <n v="202504071513"/>
    <x v="19"/>
    <x v="1"/>
    <x v="0"/>
    <x v="73"/>
    <x v="0"/>
    <x v="0"/>
    <x v="0"/>
    <x v="0"/>
    <s v="10 minutes"/>
    <n v="2"/>
    <m/>
    <m/>
    <m/>
    <m/>
    <d v="2025-04-07T00:00:00"/>
    <d v="2025-04-08T00:00:00"/>
    <d v="2025-04-08T00:00:00"/>
    <x v="0"/>
    <x v="3"/>
    <s v="None"/>
    <x v="0"/>
    <x v="0"/>
    <s v="No"/>
    <x v="1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1"/>
    <s v="High"/>
    <s v="Regular"/>
    <n v="202504071343"/>
    <x v="1"/>
    <x v="1"/>
    <x v="0"/>
    <x v="74"/>
    <x v="0"/>
    <x v="3"/>
    <x v="0"/>
    <x v="0"/>
    <s v="1 hour"/>
    <n v="1"/>
    <m/>
    <m/>
    <m/>
    <m/>
    <d v="2025-04-07T00:00:00"/>
    <d v="2025-04-07T00:00:00"/>
    <d v="2025-04-07T00:00:00"/>
    <x v="0"/>
    <x v="19"/>
    <s v="None"/>
    <x v="1"/>
    <x v="1"/>
    <s v="No"/>
    <x v="0"/>
    <s v="No"/>
    <x v="0"/>
    <x v="0"/>
    <x v="0"/>
    <x v="0"/>
    <x v="0"/>
    <x v="0"/>
    <x v="0"/>
    <x v="0"/>
    <x v="1"/>
    <n v="0"/>
    <n v="1"/>
    <n v="0"/>
    <x v="0"/>
    <x v="0"/>
    <s v="OK"/>
    <s v=""/>
  </r>
  <r>
    <x v="0"/>
    <s v="High"/>
    <s v="Regular"/>
    <n v="202504070410"/>
    <x v="5"/>
    <x v="3"/>
    <x v="0"/>
    <x v="75"/>
    <x v="2"/>
    <x v="8"/>
    <x v="0"/>
    <x v="0"/>
    <s v="15 minut"/>
    <n v="2"/>
    <n v="2"/>
    <n v="1"/>
    <m/>
    <m/>
    <d v="2025-04-07T00:00:00"/>
    <d v="2025-04-07T00:00:00"/>
    <d v="2025-04-07T00:00:00"/>
    <x v="0"/>
    <x v="19"/>
    <s v="None"/>
    <x v="1"/>
    <x v="1"/>
    <s v="No"/>
    <x v="1"/>
    <s v="No"/>
    <x v="0"/>
    <x v="0"/>
    <x v="0"/>
    <x v="0"/>
    <x v="0"/>
    <x v="0"/>
    <x v="0"/>
    <x v="0"/>
    <x v="1"/>
    <n v="0"/>
    <n v="1"/>
    <n v="0"/>
    <x v="0"/>
    <x v="0"/>
    <s v="OK"/>
    <s v=""/>
  </r>
  <r>
    <x v="1"/>
    <s v="High"/>
    <s v="Regular"/>
    <n v="202504081012"/>
    <x v="1"/>
    <x v="1"/>
    <x v="0"/>
    <x v="76"/>
    <x v="0"/>
    <x v="4"/>
    <x v="0"/>
    <x v="0"/>
    <s v="40 minutes"/>
    <n v="1"/>
    <m/>
    <m/>
    <m/>
    <m/>
    <d v="2025-04-08T00:00:00"/>
    <d v="2025-04-08T00:00:00"/>
    <d v="2025-04-08T00:00:00"/>
    <x v="0"/>
    <x v="19"/>
    <s v="None"/>
    <x v="0"/>
    <x v="0"/>
    <s v="No"/>
    <x v="0"/>
    <s v="No"/>
    <x v="0"/>
    <x v="0"/>
    <x v="0"/>
    <x v="0"/>
    <x v="0"/>
    <x v="1"/>
    <x v="0"/>
    <x v="0"/>
    <x v="0"/>
    <n v="0"/>
    <n v="0"/>
    <n v="0"/>
    <x v="0"/>
    <x v="0"/>
    <s v="OK"/>
    <s v=""/>
  </r>
  <r>
    <x v="0"/>
    <s v="High"/>
    <s v="Regular"/>
    <n v="202504081417"/>
    <x v="17"/>
    <x v="3"/>
    <x v="0"/>
    <x v="77"/>
    <x v="0"/>
    <x v="1"/>
    <x v="0"/>
    <x v="0"/>
    <s v="5 minutes"/>
    <n v="2"/>
    <m/>
    <m/>
    <m/>
    <m/>
    <d v="2025-04-08T00:00:00"/>
    <d v="2025-04-09T00:00:00"/>
    <d v="2025-04-09T00:00:00"/>
    <x v="0"/>
    <x v="3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161117"/>
    <x v="25"/>
    <x v="1"/>
    <x v="4"/>
    <x v="78"/>
    <x v="0"/>
    <x v="4"/>
    <x v="0"/>
    <x v="1"/>
    <s v="3.5 hours"/>
    <n v="18"/>
    <m/>
    <m/>
    <m/>
    <m/>
    <d v="2025-04-16T00:00:00"/>
    <d v="2025-04-16T00:00:00"/>
    <d v="2025-04-16T00:00:00"/>
    <x v="0"/>
    <x v="17"/>
    <s v="None"/>
    <x v="1"/>
    <x v="1"/>
    <s v="No"/>
    <x v="0"/>
    <s v="No"/>
    <x v="0"/>
    <x v="0"/>
    <x v="0"/>
    <x v="0"/>
    <x v="0"/>
    <x v="1"/>
    <x v="0"/>
    <x v="0"/>
    <x v="1"/>
    <n v="0"/>
    <n v="1"/>
    <n v="0"/>
    <x v="0"/>
    <x v="0"/>
    <s v="OK"/>
    <s v=""/>
  </r>
  <r>
    <x v="1"/>
    <s v="High"/>
    <s v="Regular"/>
    <n v="202504221402"/>
    <x v="25"/>
    <x v="1"/>
    <x v="0"/>
    <x v="79"/>
    <x v="0"/>
    <x v="5"/>
    <x v="3"/>
    <x v="0"/>
    <s v="15 minutes"/>
    <n v="6"/>
    <m/>
    <m/>
    <m/>
    <m/>
    <d v="2025-04-22T00:00:00"/>
    <d v="2025-04-22T00:00:00"/>
    <d v="2025-04-22T00:00:00"/>
    <x v="0"/>
    <x v="9"/>
    <s v="None"/>
    <x v="1"/>
    <x v="1"/>
    <s v="No"/>
    <x v="0"/>
    <s v="No"/>
    <x v="0"/>
    <x v="0"/>
    <x v="0"/>
    <x v="0"/>
    <x v="0"/>
    <x v="1"/>
    <x v="0"/>
    <x v="0"/>
    <x v="1"/>
    <n v="0"/>
    <n v="1"/>
    <n v="0"/>
    <x v="0"/>
    <x v="0"/>
    <s v="OK"/>
    <s v=""/>
  </r>
  <r>
    <x v="1"/>
    <s v="High"/>
    <s v="Regular"/>
    <n v="202504171419"/>
    <x v="19"/>
    <x v="1"/>
    <x v="0"/>
    <x v="80"/>
    <x v="0"/>
    <x v="3"/>
    <x v="0"/>
    <x v="0"/>
    <s v="15 minutes"/>
    <n v="2"/>
    <m/>
    <m/>
    <m/>
    <m/>
    <d v="2025-04-17T00:00:00"/>
    <d v="2025-04-17T00:00:00"/>
    <d v="2025-04-17T00:00:00"/>
    <x v="0"/>
    <x v="17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021443"/>
    <x v="25"/>
    <x v="1"/>
    <x v="2"/>
    <x v="81"/>
    <x v="0"/>
    <x v="1"/>
    <x v="3"/>
    <x v="0"/>
    <s v="5 minutes"/>
    <n v="2"/>
    <m/>
    <m/>
    <m/>
    <m/>
    <d v="2025-04-02T00:00:00"/>
    <d v="2025-04-02T00:00:00"/>
    <d v="2025-04-02T00:00:00"/>
    <x v="0"/>
    <x v="15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081356"/>
    <x v="26"/>
    <x v="1"/>
    <x v="0"/>
    <x v="82"/>
    <x v="0"/>
    <x v="2"/>
    <x v="0"/>
    <x v="0"/>
    <s v="1 hour"/>
    <n v="4"/>
    <m/>
    <m/>
    <m/>
    <m/>
    <d v="2025-04-08T00:00:00"/>
    <d v="2025-04-09T00:00:00"/>
    <d v="2025-04-09T00:00:00"/>
    <x v="0"/>
    <x v="5"/>
    <s v="None"/>
    <x v="1"/>
    <x v="1"/>
    <s v="No"/>
    <x v="0"/>
    <s v="No"/>
    <x v="0"/>
    <x v="0"/>
    <x v="0"/>
    <x v="0"/>
    <x v="0"/>
    <x v="1"/>
    <x v="0"/>
    <x v="0"/>
    <x v="2"/>
    <n v="0"/>
    <n v="1"/>
    <n v="0"/>
    <x v="0"/>
    <x v="0"/>
    <s v="OK"/>
    <s v=""/>
  </r>
  <r>
    <x v="1"/>
    <s v="High"/>
    <s v="Regular"/>
    <n v="202504040807"/>
    <x v="26"/>
    <x v="1"/>
    <x v="0"/>
    <x v="83"/>
    <x v="0"/>
    <x v="0"/>
    <x v="0"/>
    <x v="0"/>
    <s v="2 hours"/>
    <n v="2"/>
    <m/>
    <m/>
    <m/>
    <m/>
    <d v="2025-04-04T00:00:00"/>
    <d v="2025-04-04T00:00:00"/>
    <d v="2025-04-04T00:00:00"/>
    <x v="0"/>
    <x v="12"/>
    <s v="None"/>
    <x v="1"/>
    <x v="1"/>
    <s v="No"/>
    <x v="1"/>
    <s v="No"/>
    <x v="0"/>
    <x v="0"/>
    <x v="0"/>
    <x v="0"/>
    <x v="0"/>
    <x v="1"/>
    <x v="0"/>
    <x v="0"/>
    <x v="1"/>
    <n v="0"/>
    <n v="1"/>
    <n v="0"/>
    <x v="0"/>
    <x v="0"/>
    <s v="OK"/>
    <s v=""/>
  </r>
  <r>
    <x v="1"/>
    <s v="High"/>
    <s v="Regular"/>
    <n v="202504080917"/>
    <x v="26"/>
    <x v="1"/>
    <x v="0"/>
    <x v="84"/>
    <x v="0"/>
    <x v="3"/>
    <x v="0"/>
    <x v="0"/>
    <s v="2 hours"/>
    <n v="2"/>
    <m/>
    <m/>
    <m/>
    <m/>
    <d v="2025-04-08T00:00:00"/>
    <d v="2025-04-08T00:00:00"/>
    <d v="2025-04-09T00:00:00"/>
    <x v="0"/>
    <x v="5"/>
    <s v="None"/>
    <x v="1"/>
    <x v="1"/>
    <s v="No"/>
    <x v="1"/>
    <s v="No"/>
    <x v="0"/>
    <x v="0"/>
    <x v="0"/>
    <x v="0"/>
    <x v="0"/>
    <x v="0"/>
    <x v="0"/>
    <x v="0"/>
    <x v="1"/>
    <n v="1"/>
    <n v="1"/>
    <n v="0"/>
    <x v="0"/>
    <x v="0"/>
    <s v="OK"/>
    <s v=""/>
  </r>
  <r>
    <x v="1"/>
    <s v="High"/>
    <s v="Regular"/>
    <n v="202504041529"/>
    <x v="22"/>
    <x v="1"/>
    <x v="0"/>
    <x v="85"/>
    <x v="0"/>
    <x v="1"/>
    <x v="0"/>
    <x v="0"/>
    <s v="15 minutes"/>
    <n v="4"/>
    <m/>
    <m/>
    <m/>
    <m/>
    <d v="2025-04-04T00:00:00"/>
    <d v="2025-04-04T00:00:00"/>
    <d v="2025-04-04T00:00:00"/>
    <x v="0"/>
    <x v="11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3101122"/>
    <x v="1"/>
    <x v="1"/>
    <x v="0"/>
    <x v="86"/>
    <x v="0"/>
    <x v="5"/>
    <x v="0"/>
    <x v="0"/>
    <s v="20 minutes"/>
    <n v="2"/>
    <m/>
    <m/>
    <m/>
    <m/>
    <d v="2025-03-10T00:00:00"/>
    <d v="2025-03-10T00:00:00"/>
    <d v="2025-03-10T00:00:00"/>
    <x v="0"/>
    <x v="0"/>
    <s v="None"/>
    <x v="2"/>
    <x v="2"/>
    <s v="No"/>
    <x v="0"/>
    <s v="No"/>
    <x v="0"/>
    <x v="0"/>
    <x v="0"/>
    <x v="0"/>
    <x v="0"/>
    <x v="1"/>
    <x v="0"/>
    <x v="0"/>
    <x v="1"/>
    <n v="0"/>
    <n v="33"/>
    <n v="0"/>
    <x v="0"/>
    <x v="0"/>
    <s v="OK"/>
    <s v=""/>
  </r>
  <r>
    <x v="1"/>
    <s v="High"/>
    <s v="Regular"/>
    <n v="202503051100"/>
    <x v="15"/>
    <x v="1"/>
    <x v="0"/>
    <x v="87"/>
    <x v="0"/>
    <x v="1"/>
    <x v="0"/>
    <x v="0"/>
    <s v="10 minutes"/>
    <n v="2"/>
    <m/>
    <m/>
    <m/>
    <m/>
    <d v="2025-03-05T00:00:00"/>
    <d v="2025-03-26T00:00:00"/>
    <d v="2025-03-26T00:00:00"/>
    <x v="0"/>
    <x v="18"/>
    <s v="None"/>
    <x v="0"/>
    <x v="0"/>
    <s v="No"/>
    <x v="1"/>
    <s v="No"/>
    <x v="0"/>
    <x v="0"/>
    <x v="0"/>
    <x v="0"/>
    <x v="0"/>
    <x v="0"/>
    <x v="0"/>
    <x v="0"/>
    <x v="0"/>
    <n v="0"/>
    <n v="6"/>
    <n v="0"/>
    <x v="0"/>
    <x v="0"/>
    <s v="OK"/>
    <s v=""/>
  </r>
  <r>
    <x v="1"/>
    <s v="High"/>
    <s v="Regular"/>
    <n v="202503141525"/>
    <x v="1"/>
    <x v="1"/>
    <x v="0"/>
    <x v="88"/>
    <x v="0"/>
    <x v="5"/>
    <x v="0"/>
    <x v="0"/>
    <s v="30 minutes"/>
    <n v="2"/>
    <m/>
    <m/>
    <m/>
    <m/>
    <d v="2025-03-14T00:00:00"/>
    <d v="2025-03-17T00:00:00"/>
    <d v="2025-03-17T00:00:00"/>
    <x v="0"/>
    <x v="10"/>
    <s v="None"/>
    <x v="5"/>
    <x v="2"/>
    <s v="No"/>
    <x v="0"/>
    <s v="No"/>
    <x v="0"/>
    <x v="0"/>
    <x v="0"/>
    <x v="0"/>
    <x v="0"/>
    <x v="1"/>
    <x v="0"/>
    <x v="0"/>
    <x v="1"/>
    <n v="0"/>
    <n v="27"/>
    <n v="0"/>
    <x v="0"/>
    <x v="0"/>
    <s v="OK"/>
    <s v=""/>
  </r>
  <r>
    <x v="2"/>
    <s v="High"/>
    <s v="Regular"/>
    <n v="202503181558"/>
    <x v="27"/>
    <x v="2"/>
    <x v="2"/>
    <x v="89"/>
    <x v="1"/>
    <x v="5"/>
    <x v="0"/>
    <x v="3"/>
    <s v="1 day"/>
    <n v="4"/>
    <n v="4"/>
    <m/>
    <m/>
    <m/>
    <d v="2025-03-19T00:00:00"/>
    <d v="2025-03-19T00:00:00"/>
    <d v="2025-03-19T00:00:00"/>
    <x v="0"/>
    <x v="10"/>
    <d v="2025-03-21T00:00:00"/>
    <x v="1"/>
    <x v="2"/>
    <s v="No"/>
    <x v="0"/>
    <s v="No"/>
    <x v="0"/>
    <x v="0"/>
    <x v="0"/>
    <x v="0"/>
    <x v="0"/>
    <x v="1"/>
    <x v="0"/>
    <x v="1"/>
    <x v="1"/>
    <n v="0"/>
    <n v="25"/>
    <n v="0"/>
    <x v="0"/>
    <x v="0"/>
    <s v="OK"/>
    <s v=""/>
  </r>
  <r>
    <x v="2"/>
    <s v="High"/>
    <s v="Regular"/>
    <n v="202503141836"/>
    <x v="27"/>
    <x v="2"/>
    <x v="0"/>
    <x v="90"/>
    <x v="1"/>
    <x v="4"/>
    <x v="0"/>
    <x v="3"/>
    <s v="3 hours"/>
    <n v="52"/>
    <n v="6"/>
    <m/>
    <m/>
    <m/>
    <d v="2025-04-08T00:00:00"/>
    <d v="2025-04-09T00:00:00"/>
    <d v="2025-04-09T00:00:00"/>
    <x v="0"/>
    <x v="13"/>
    <s v="None"/>
    <x v="1"/>
    <x v="1"/>
    <s v="No"/>
    <x v="0"/>
    <s v="No"/>
    <x v="0"/>
    <x v="0"/>
    <x v="1"/>
    <x v="1"/>
    <x v="1"/>
    <x v="0"/>
    <x v="0"/>
    <x v="1"/>
    <x v="1"/>
    <n v="0"/>
    <n v="12"/>
    <n v="0"/>
    <x v="0"/>
    <x v="0"/>
    <s v="OK"/>
    <s v=""/>
  </r>
  <r>
    <x v="0"/>
    <s v="Normal"/>
    <s v="OT"/>
    <n v="202502141927"/>
    <x v="28"/>
    <x v="3"/>
    <x v="0"/>
    <x v="91"/>
    <x v="1"/>
    <x v="7"/>
    <x v="0"/>
    <x v="4"/>
    <s v="1.5 hours"/>
    <n v="28"/>
    <m/>
    <m/>
    <m/>
    <m/>
    <d v="2025-02-18T00:00:00"/>
    <d v="2025-03-25T00:00:00"/>
    <d v="2025-03-26T00:00:00"/>
    <x v="0"/>
    <x v="15"/>
    <s v="None"/>
    <x v="0"/>
    <x v="0"/>
    <s v="No"/>
    <x v="1"/>
    <s v="No"/>
    <x v="0"/>
    <x v="0"/>
    <x v="0"/>
    <x v="0"/>
    <x v="0"/>
    <x v="0"/>
    <x v="0"/>
    <x v="0"/>
    <x v="0"/>
    <n v="1"/>
    <n v="5"/>
    <n v="0"/>
    <x v="0"/>
    <x v="0"/>
    <s v="OK"/>
    <s v=""/>
  </r>
  <r>
    <x v="1"/>
    <s v="High"/>
    <s v="Regular"/>
    <n v="202503271151"/>
    <x v="29"/>
    <x v="1"/>
    <x v="0"/>
    <x v="92"/>
    <x v="0"/>
    <x v="2"/>
    <x v="0"/>
    <x v="0"/>
    <s v="40 minutes"/>
    <n v="2"/>
    <m/>
    <m/>
    <m/>
    <m/>
    <d v="2025-03-27T00:00:00"/>
    <d v="2025-03-28T00:00:00"/>
    <d v="2025-03-28T00:00:00"/>
    <x v="0"/>
    <x v="8"/>
    <s v="None"/>
    <x v="1"/>
    <x v="2"/>
    <s v="No"/>
    <x v="0"/>
    <s v="No"/>
    <x v="0"/>
    <x v="0"/>
    <x v="0"/>
    <x v="0"/>
    <x v="0"/>
    <x v="1"/>
    <x v="0"/>
    <x v="0"/>
    <x v="1"/>
    <n v="0"/>
    <n v="2"/>
    <n v="0"/>
    <x v="0"/>
    <x v="0"/>
    <s v="OK"/>
    <s v=""/>
  </r>
  <r>
    <x v="1"/>
    <s v="Normal"/>
    <s v="Regular"/>
    <n v="205170849"/>
    <x v="10"/>
    <x v="1"/>
    <x v="0"/>
    <x v="93"/>
    <x v="1"/>
    <x v="2"/>
    <x v="0"/>
    <x v="0"/>
    <s v="1 hour"/>
    <n v="2"/>
    <m/>
    <m/>
    <m/>
    <m/>
    <d v="2025-03-17T00:00:00"/>
    <d v="2025-03-25T00:00:00"/>
    <d v="2025-03-25T00:00:00"/>
    <x v="0"/>
    <x v="0"/>
    <d v="2025-03-31T00:00:00"/>
    <x v="1"/>
    <x v="2"/>
    <s v="No"/>
    <x v="1"/>
    <s v="Yes"/>
    <x v="0"/>
    <x v="0"/>
    <x v="0"/>
    <x v="0"/>
    <x v="0"/>
    <x v="0"/>
    <x v="0"/>
    <x v="0"/>
    <x v="1"/>
    <n v="0"/>
    <n v="0"/>
    <n v="0"/>
    <x v="0"/>
    <x v="0"/>
    <s v="OK"/>
    <s v=""/>
  </r>
  <r>
    <x v="1"/>
    <s v="High"/>
    <s v="Regular"/>
    <n v="202503270844"/>
    <x v="10"/>
    <x v="1"/>
    <x v="0"/>
    <x v="94"/>
    <x v="0"/>
    <x v="5"/>
    <x v="0"/>
    <x v="0"/>
    <s v="2 hours"/>
    <n v="8"/>
    <m/>
    <m/>
    <m/>
    <m/>
    <d v="2025-03-27T00:00:00"/>
    <d v="2025-03-31T00:00:00"/>
    <d v="2025-03-31T00:00:00"/>
    <x v="0"/>
    <x v="10"/>
    <s v="None"/>
    <x v="1"/>
    <x v="1"/>
    <s v="No"/>
    <x v="0"/>
    <s v="No"/>
    <x v="1"/>
    <x v="0"/>
    <x v="0"/>
    <x v="0"/>
    <x v="0"/>
    <x v="1"/>
    <x v="0"/>
    <x v="0"/>
    <x v="1"/>
    <n v="0"/>
    <n v="17"/>
    <n v="0"/>
    <x v="0"/>
    <x v="0"/>
    <s v="OK"/>
    <s v=""/>
  </r>
  <r>
    <x v="1"/>
    <s v="High"/>
    <s v="Regular"/>
    <n v="202504291135"/>
    <x v="30"/>
    <x v="1"/>
    <x v="0"/>
    <x v="95"/>
    <x v="0"/>
    <x v="1"/>
    <x v="0"/>
    <x v="0"/>
    <s v="3 minutes"/>
    <n v="1"/>
    <m/>
    <m/>
    <m/>
    <m/>
    <d v="2025-04-29T00:00:00"/>
    <d v="2025-04-29T00:00:00"/>
    <d v="2025-04-29T00:00:00"/>
    <x v="0"/>
    <x v="13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3201346"/>
    <x v="19"/>
    <x v="1"/>
    <x v="0"/>
    <x v="96"/>
    <x v="1"/>
    <x v="5"/>
    <x v="0"/>
    <x v="2"/>
    <s v="15 minutes"/>
    <n v="2"/>
    <m/>
    <m/>
    <m/>
    <m/>
    <d v="2025-03-20T00:00:00"/>
    <d v="2025-03-21T00:00:00"/>
    <d v="2025-03-21T00:00:00"/>
    <x v="2"/>
    <x v="10"/>
    <d v="2025-03-21T00:00:00"/>
    <x v="0"/>
    <x v="0"/>
    <s v="No"/>
    <x v="1"/>
    <s v="No"/>
    <x v="0"/>
    <x v="0"/>
    <x v="0"/>
    <x v="0"/>
    <x v="0"/>
    <x v="0"/>
    <x v="0"/>
    <x v="0"/>
    <x v="0"/>
    <n v="0"/>
    <n v="23"/>
    <n v="2"/>
    <x v="1"/>
    <x v="0"/>
    <s v="OK"/>
    <s v=""/>
  </r>
  <r>
    <x v="1"/>
    <s v="Normal"/>
    <s v="Regular"/>
    <n v="202503311308"/>
    <x v="24"/>
    <x v="1"/>
    <x v="0"/>
    <x v="97"/>
    <x v="0"/>
    <x v="1"/>
    <x v="0"/>
    <x v="0"/>
    <s v="10 minutes"/>
    <m/>
    <m/>
    <m/>
    <n v="1"/>
    <m/>
    <d v="2025-03-31T00:00:00"/>
    <d v="2025-03-31T00:00:00"/>
    <d v="2025-03-31T00:00:00"/>
    <x v="0"/>
    <x v="8"/>
    <s v="None"/>
    <x v="0"/>
    <x v="0"/>
    <s v="No"/>
    <x v="1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1"/>
    <s v="High"/>
    <s v="Regular"/>
    <n v="202504020917"/>
    <x v="24"/>
    <x v="1"/>
    <x v="0"/>
    <x v="98"/>
    <x v="0"/>
    <x v="5"/>
    <x v="0"/>
    <x v="0"/>
    <s v="20 minutes"/>
    <n v="3"/>
    <m/>
    <m/>
    <m/>
    <m/>
    <d v="2025-04-02T00:00:00"/>
    <d v="2025-04-02T00:00:00"/>
    <d v="2025-04-02T00:00:00"/>
    <x v="0"/>
    <x v="15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091052"/>
    <x v="7"/>
    <x v="4"/>
    <x v="0"/>
    <x v="99"/>
    <x v="0"/>
    <x v="0"/>
    <x v="0"/>
    <x v="0"/>
    <s v="20 minutes"/>
    <n v="1"/>
    <m/>
    <m/>
    <m/>
    <m/>
    <d v="2025-04-09T00:00:00"/>
    <d v="2025-04-11T00:00:00"/>
    <d v="2025-04-11T00:00:00"/>
    <x v="0"/>
    <x v="4"/>
    <s v="None"/>
    <x v="1"/>
    <x v="1"/>
    <s v="No"/>
    <x v="1"/>
    <s v="No"/>
    <x v="0"/>
    <x v="0"/>
    <x v="0"/>
    <x v="0"/>
    <x v="0"/>
    <x v="0"/>
    <x v="0"/>
    <x v="0"/>
    <x v="1"/>
    <n v="0"/>
    <n v="0"/>
    <n v="0"/>
    <x v="0"/>
    <x v="0"/>
    <s v="OK"/>
    <s v=""/>
  </r>
  <r>
    <x v="1"/>
    <s v="High"/>
    <s v="Regular"/>
    <n v="202504240930"/>
    <x v="7"/>
    <x v="4"/>
    <x v="0"/>
    <x v="100"/>
    <x v="0"/>
    <x v="4"/>
    <x v="0"/>
    <x v="0"/>
    <s v="45 minutes"/>
    <n v="2"/>
    <m/>
    <m/>
    <m/>
    <m/>
    <d v="2025-04-24T00:00:00"/>
    <d v="2025-04-25T00:00:00"/>
    <d v="2025-04-25T00:00:00"/>
    <x v="0"/>
    <x v="10"/>
    <s v="None"/>
    <x v="1"/>
    <x v="1"/>
    <s v="No"/>
    <x v="0"/>
    <s v="No"/>
    <x v="0"/>
    <x v="0"/>
    <x v="0"/>
    <x v="0"/>
    <x v="0"/>
    <x v="0"/>
    <x v="0"/>
    <x v="0"/>
    <x v="2"/>
    <n v="0"/>
    <n v="0"/>
    <n v="0"/>
    <x v="0"/>
    <x v="0"/>
    <s v="OK"/>
    <s v=""/>
  </r>
  <r>
    <x v="1"/>
    <s v="High"/>
    <s v="Regular"/>
    <n v="202504161340"/>
    <x v="7"/>
    <x v="4"/>
    <x v="0"/>
    <x v="101"/>
    <x v="0"/>
    <x v="6"/>
    <x v="0"/>
    <x v="2"/>
    <s v="5 minutes"/>
    <n v="1"/>
    <m/>
    <m/>
    <m/>
    <m/>
    <d v="2025-04-16T00:00:00"/>
    <d v="2025-04-16T00:00:00"/>
    <d v="2025-04-16T00:00:00"/>
    <x v="0"/>
    <x v="7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140913"/>
    <x v="7"/>
    <x v="4"/>
    <x v="0"/>
    <x v="101"/>
    <x v="0"/>
    <x v="3"/>
    <x v="0"/>
    <x v="0"/>
    <s v="30 minutes"/>
    <n v="1"/>
    <m/>
    <m/>
    <m/>
    <m/>
    <d v="2025-04-14T00:00:00"/>
    <d v="2025-04-14T00:00:00"/>
    <d v="2025-04-14T00:00:00"/>
    <x v="0"/>
    <x v="16"/>
    <s v="None"/>
    <x v="1"/>
    <x v="1"/>
    <s v="No"/>
    <x v="0"/>
    <s v="No"/>
    <x v="0"/>
    <x v="0"/>
    <x v="0"/>
    <x v="0"/>
    <x v="0"/>
    <x v="0"/>
    <x v="1"/>
    <x v="0"/>
    <x v="1"/>
    <n v="0"/>
    <n v="0"/>
    <n v="0"/>
    <x v="0"/>
    <x v="0"/>
    <s v="OK"/>
    <n v="1"/>
  </r>
  <r>
    <x v="1"/>
    <s v="High"/>
    <s v="Regular"/>
    <n v="202504070415"/>
    <x v="7"/>
    <x v="4"/>
    <x v="0"/>
    <x v="102"/>
    <x v="3"/>
    <x v="6"/>
    <x v="0"/>
    <x v="2"/>
    <s v="10 minutes"/>
    <n v="1"/>
    <m/>
    <m/>
    <m/>
    <m/>
    <d v="2025-04-07T00:00:00"/>
    <d v="2025-04-07T00:00:00"/>
    <d v="2025-04-07T00:00:00"/>
    <x v="3"/>
    <x v="12"/>
    <d v="2025-04-07T00:00:00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3311416"/>
    <x v="12"/>
    <x v="1"/>
    <x v="0"/>
    <x v="103"/>
    <x v="0"/>
    <x v="8"/>
    <x v="0"/>
    <x v="0"/>
    <s v="15 minutes"/>
    <n v="4"/>
    <m/>
    <m/>
    <m/>
    <m/>
    <d v="2025-03-31T00:00:00"/>
    <d v="2025-04-01T00:00:00"/>
    <d v="2025-04-01T00:00:00"/>
    <x v="0"/>
    <x v="8"/>
    <s v="None"/>
    <x v="1"/>
    <x v="1"/>
    <s v="No"/>
    <x v="0"/>
    <s v="No"/>
    <x v="0"/>
    <x v="0"/>
    <x v="0"/>
    <x v="0"/>
    <x v="0"/>
    <x v="0"/>
    <x v="0"/>
    <x v="0"/>
    <x v="1"/>
    <n v="0"/>
    <n v="0"/>
    <n v="0"/>
    <x v="0"/>
    <x v="0"/>
    <s v="OK"/>
    <s v=""/>
  </r>
  <r>
    <x v="1"/>
    <s v="High"/>
    <s v="Regular"/>
    <n v="202503251436"/>
    <x v="12"/>
    <x v="1"/>
    <x v="0"/>
    <x v="104"/>
    <x v="0"/>
    <x v="1"/>
    <x v="0"/>
    <x v="0"/>
    <s v="20 minutes"/>
    <n v="3"/>
    <m/>
    <m/>
    <m/>
    <m/>
    <d v="2025-03-25T00:00:00"/>
    <d v="2025-03-28T00:00:00"/>
    <d v="2025-03-28T00:00:00"/>
    <x v="0"/>
    <x v="8"/>
    <s v="None"/>
    <x v="0"/>
    <x v="0"/>
    <s v="No"/>
    <x v="1"/>
    <s v="No"/>
    <x v="0"/>
    <x v="0"/>
    <x v="0"/>
    <x v="0"/>
    <x v="0"/>
    <x v="0"/>
    <x v="0"/>
    <x v="0"/>
    <x v="0"/>
    <n v="0"/>
    <n v="2"/>
    <n v="0"/>
    <x v="0"/>
    <x v="0"/>
    <s v="OK"/>
    <s v=""/>
  </r>
  <r>
    <x v="1"/>
    <s v="High"/>
    <s v="Regular"/>
    <n v="202504291516"/>
    <x v="16"/>
    <x v="1"/>
    <x v="0"/>
    <x v="105"/>
    <x v="0"/>
    <x v="5"/>
    <x v="0"/>
    <x v="0"/>
    <s v="30 minutes"/>
    <n v="1"/>
    <m/>
    <m/>
    <m/>
    <m/>
    <d v="2025-04-29T00:00:00"/>
    <d v="2025-04-29T00:00:00"/>
    <d v="2025-04-29T00:00:00"/>
    <x v="0"/>
    <x v="13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171354"/>
    <x v="31"/>
    <x v="1"/>
    <x v="0"/>
    <x v="106"/>
    <x v="0"/>
    <x v="2"/>
    <x v="0"/>
    <x v="0"/>
    <s v="20 minutes"/>
    <n v="4"/>
    <m/>
    <m/>
    <m/>
    <m/>
    <d v="2025-04-17T00:00:00"/>
    <d v="2025-04-17T00:00:00"/>
    <d v="2025-04-17T00:00:00"/>
    <x v="0"/>
    <x v="17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251109"/>
    <x v="31"/>
    <x v="1"/>
    <x v="0"/>
    <x v="106"/>
    <x v="0"/>
    <x v="0"/>
    <x v="0"/>
    <x v="0"/>
    <s v="15 minutes"/>
    <n v="4"/>
    <m/>
    <m/>
    <m/>
    <m/>
    <d v="2025-04-25T00:00:00"/>
    <d v="2025-04-25T00:00:00"/>
    <d v="2025-04-25T00:00:00"/>
    <x v="0"/>
    <x v="10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041126"/>
    <x v="31"/>
    <x v="1"/>
    <x v="0"/>
    <x v="106"/>
    <x v="0"/>
    <x v="4"/>
    <x v="0"/>
    <x v="0"/>
    <s v="30 minutes"/>
    <n v="4"/>
    <m/>
    <m/>
    <m/>
    <m/>
    <d v="2025-04-04T00:00:00"/>
    <d v="2025-04-04T00:00:00"/>
    <d v="2025-04-04T00:00:00"/>
    <x v="0"/>
    <x v="11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111124"/>
    <x v="31"/>
    <x v="1"/>
    <x v="0"/>
    <x v="106"/>
    <x v="0"/>
    <x v="1"/>
    <x v="0"/>
    <x v="0"/>
    <s v="15 minutes"/>
    <n v="4"/>
    <m/>
    <m/>
    <m/>
    <m/>
    <d v="2025-04-11T00:00:00"/>
    <d v="2025-04-11T00:00:00"/>
    <d v="2025-04-11T00:00:00"/>
    <x v="0"/>
    <x v="4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010813"/>
    <x v="32"/>
    <x v="1"/>
    <x v="0"/>
    <x v="107"/>
    <x v="0"/>
    <x v="5"/>
    <x v="0"/>
    <x v="0"/>
    <s v="0 hours"/>
    <n v="4"/>
    <m/>
    <m/>
    <m/>
    <m/>
    <d v="2025-04-01T00:00:00"/>
    <d v="2025-04-01T00:00:00"/>
    <d v="2025-04-01T00:00:00"/>
    <x v="0"/>
    <x v="10"/>
    <s v="None"/>
    <x v="0"/>
    <x v="0"/>
    <s v="No"/>
    <x v="0"/>
    <s v="Yes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111102"/>
    <x v="16"/>
    <x v="1"/>
    <x v="0"/>
    <x v="108"/>
    <x v="0"/>
    <x v="1"/>
    <x v="0"/>
    <x v="0"/>
    <s v="5 minutes"/>
    <n v="2"/>
    <m/>
    <m/>
    <m/>
    <m/>
    <d v="2025-04-11T00:00:00"/>
    <d v="2025-04-11T00:00:00"/>
    <d v="2025-04-11T00:00:00"/>
    <x v="0"/>
    <x v="16"/>
    <s v="None"/>
    <x v="0"/>
    <x v="0"/>
    <s v="No"/>
    <x v="0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1"/>
    <s v="High"/>
    <s v="Regular"/>
    <n v="202504251303"/>
    <x v="33"/>
    <x v="1"/>
    <x v="0"/>
    <x v="109"/>
    <x v="0"/>
    <x v="4"/>
    <x v="3"/>
    <x v="0"/>
    <s v="2 hours"/>
    <n v="2"/>
    <m/>
    <m/>
    <m/>
    <m/>
    <d v="2025-04-25T00:00:00"/>
    <d v="2025-04-28T00:00:00"/>
    <d v="2025-04-28T00:00:00"/>
    <x v="0"/>
    <x v="13"/>
    <s v="None"/>
    <x v="5"/>
    <x v="1"/>
    <s v="No"/>
    <x v="1"/>
    <s v="No"/>
    <x v="0"/>
    <x v="0"/>
    <x v="0"/>
    <x v="0"/>
    <x v="0"/>
    <x v="0"/>
    <x v="0"/>
    <x v="0"/>
    <x v="1"/>
    <n v="0"/>
    <n v="1"/>
    <n v="0"/>
    <x v="0"/>
    <x v="0"/>
    <s v="OK"/>
    <s v=""/>
  </r>
  <r>
    <x v="0"/>
    <s v="High"/>
    <s v="Regular"/>
    <n v="202504030856"/>
    <x v="5"/>
    <x v="3"/>
    <x v="0"/>
    <x v="110"/>
    <x v="0"/>
    <x v="8"/>
    <x v="0"/>
    <x v="0"/>
    <s v="5 minutes"/>
    <n v="1"/>
    <m/>
    <m/>
    <m/>
    <m/>
    <d v="2025-04-03T00:00:00"/>
    <d v="2025-04-02T00:00:00"/>
    <d v="2025-04-02T00:00:00"/>
    <x v="0"/>
    <x v="18"/>
    <s v="None"/>
    <x v="0"/>
    <x v="0"/>
    <s v="No"/>
    <x v="0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0"/>
    <s v="High"/>
    <s v="Regular"/>
    <n v="202504021407"/>
    <x v="34"/>
    <x v="3"/>
    <x v="0"/>
    <x v="111"/>
    <x v="0"/>
    <x v="1"/>
    <x v="0"/>
    <x v="0"/>
    <s v="20 minutes"/>
    <n v="2"/>
    <m/>
    <m/>
    <m/>
    <m/>
    <d v="2025-04-02T00:00:00"/>
    <d v="2025-04-02T00:00:00"/>
    <d v="2025-04-02T00:00:00"/>
    <x v="0"/>
    <x v="15"/>
    <s v="None"/>
    <x v="0"/>
    <x v="0"/>
    <s v="No"/>
    <x v="0"/>
    <s v="No"/>
    <x v="0"/>
    <x v="0"/>
    <x v="0"/>
    <x v="0"/>
    <x v="0"/>
    <x v="1"/>
    <x v="1"/>
    <x v="0"/>
    <x v="0"/>
    <n v="0"/>
    <n v="0"/>
    <n v="0"/>
    <x v="0"/>
    <x v="0"/>
    <s v="OK"/>
    <n v="1"/>
  </r>
  <r>
    <x v="0"/>
    <s v="High"/>
    <s v="Regular"/>
    <n v="202504101346"/>
    <x v="34"/>
    <x v="3"/>
    <x v="0"/>
    <x v="112"/>
    <x v="0"/>
    <x v="1"/>
    <x v="0"/>
    <x v="5"/>
    <s v="5 minutes"/>
    <n v="1"/>
    <m/>
    <m/>
    <m/>
    <m/>
    <d v="2025-04-10T00:00:00"/>
    <d v="2025-04-10T00:00:00"/>
    <d v="2025-04-10T00:00:00"/>
    <x v="0"/>
    <x v="5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High"/>
    <s v="Regular"/>
    <n v="202504030855"/>
    <x v="5"/>
    <x v="3"/>
    <x v="0"/>
    <x v="113"/>
    <x v="0"/>
    <x v="8"/>
    <x v="0"/>
    <x v="0"/>
    <s v="5 minutes"/>
    <n v="2"/>
    <m/>
    <m/>
    <m/>
    <m/>
    <d v="2025-04-03T00:00:00"/>
    <d v="2025-04-02T00:00:00"/>
    <d v="2025-04-02T00:00:00"/>
    <x v="0"/>
    <x v="18"/>
    <s v="None"/>
    <x v="0"/>
    <x v="0"/>
    <s v="No"/>
    <x v="0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0"/>
    <s v="High"/>
    <s v="Regular"/>
    <n v="202504071523"/>
    <x v="35"/>
    <x v="3"/>
    <x v="0"/>
    <x v="114"/>
    <x v="0"/>
    <x v="4"/>
    <x v="0"/>
    <x v="0"/>
    <s v="30 minutes"/>
    <n v="2"/>
    <m/>
    <m/>
    <n v="1"/>
    <m/>
    <d v="2025-04-07T00:00:00"/>
    <d v="2025-04-08T00:00:00"/>
    <d v="2025-04-08T00:00:00"/>
    <x v="0"/>
    <x v="19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High"/>
    <s v="Regular"/>
    <n v="202504041312"/>
    <x v="35"/>
    <x v="3"/>
    <x v="0"/>
    <x v="115"/>
    <x v="0"/>
    <x v="0"/>
    <x v="0"/>
    <x v="0"/>
    <s v="30 minutes"/>
    <n v="2"/>
    <n v="2"/>
    <m/>
    <m/>
    <m/>
    <d v="2025-04-04T00:00:00"/>
    <d v="2025-04-07T00:00:00"/>
    <d v="2025-04-07T00:00:00"/>
    <x v="0"/>
    <x v="19"/>
    <s v="None"/>
    <x v="1"/>
    <x v="1"/>
    <s v="No"/>
    <x v="1"/>
    <s v="No"/>
    <x v="0"/>
    <x v="0"/>
    <x v="0"/>
    <x v="0"/>
    <x v="1"/>
    <x v="0"/>
    <x v="0"/>
    <x v="1"/>
    <x v="1"/>
    <n v="0"/>
    <n v="1"/>
    <n v="0"/>
    <x v="0"/>
    <x v="0"/>
    <s v="OK"/>
    <s v=""/>
  </r>
  <r>
    <x v="0"/>
    <s v="Normal"/>
    <s v="Regular"/>
    <n v="202504110919"/>
    <x v="36"/>
    <x v="3"/>
    <x v="0"/>
    <x v="116"/>
    <x v="0"/>
    <x v="1"/>
    <x v="2"/>
    <x v="0"/>
    <s v="5 minutes"/>
    <m/>
    <m/>
    <m/>
    <n v="1"/>
    <m/>
    <d v="2025-04-11T00:00:00"/>
    <d v="2025-04-11T00:00:00"/>
    <d v="2025-04-11T00:00:00"/>
    <x v="0"/>
    <x v="4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High"/>
    <s v="Regular"/>
    <n v="202504150836"/>
    <x v="21"/>
    <x v="3"/>
    <x v="0"/>
    <x v="117"/>
    <x v="0"/>
    <x v="1"/>
    <x v="0"/>
    <x v="0"/>
    <s v="1 hour"/>
    <n v="2"/>
    <n v="2"/>
    <m/>
    <m/>
    <m/>
    <d v="2025-04-15T00:00:00"/>
    <d v="2025-04-15T00:00:00"/>
    <d v="2025-04-15T00:00:00"/>
    <x v="0"/>
    <x v="17"/>
    <s v="None"/>
    <x v="1"/>
    <x v="1"/>
    <s v="No"/>
    <x v="0"/>
    <s v="No"/>
    <x v="0"/>
    <x v="0"/>
    <x v="0"/>
    <x v="0"/>
    <x v="0"/>
    <x v="1"/>
    <x v="0"/>
    <x v="1"/>
    <x v="2"/>
    <n v="0"/>
    <n v="2"/>
    <n v="0"/>
    <x v="0"/>
    <x v="0"/>
    <s v="OK"/>
    <s v=""/>
  </r>
  <r>
    <x v="0"/>
    <s v="High"/>
    <s v="Regular"/>
    <n v="202504010859"/>
    <x v="21"/>
    <x v="3"/>
    <x v="0"/>
    <x v="118"/>
    <x v="0"/>
    <x v="5"/>
    <x v="0"/>
    <x v="0"/>
    <s v="10 minutes"/>
    <n v="4"/>
    <m/>
    <m/>
    <m/>
    <m/>
    <d v="2025-04-01T00:00:00"/>
    <d v="2025-04-02T00:00:00"/>
    <d v="2025-04-02T00:00:00"/>
    <x v="0"/>
    <x v="12"/>
    <s v="None"/>
    <x v="0"/>
    <x v="0"/>
    <s v="No"/>
    <x v="0"/>
    <s v="No"/>
    <x v="0"/>
    <x v="0"/>
    <x v="0"/>
    <x v="0"/>
    <x v="0"/>
    <x v="0"/>
    <x v="0"/>
    <x v="0"/>
    <x v="0"/>
    <n v="0"/>
    <n v="3"/>
    <n v="0"/>
    <x v="0"/>
    <x v="0"/>
    <s v="OK"/>
    <s v=""/>
  </r>
  <r>
    <x v="0"/>
    <s v="High"/>
    <s v="Regular"/>
    <n v="202504081322"/>
    <x v="35"/>
    <x v="3"/>
    <x v="0"/>
    <x v="119"/>
    <x v="0"/>
    <x v="1"/>
    <x v="0"/>
    <x v="0"/>
    <s v="5 minutes"/>
    <n v="2"/>
    <m/>
    <m/>
    <m/>
    <m/>
    <d v="2025-04-08T00:00:00"/>
    <d v="2025-04-08T00:00:00"/>
    <d v="2025-04-08T00:00:00"/>
    <x v="0"/>
    <x v="19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High"/>
    <s v="Regular"/>
    <n v="202503271529"/>
    <x v="36"/>
    <x v="3"/>
    <x v="0"/>
    <x v="120"/>
    <x v="0"/>
    <x v="7"/>
    <x v="0"/>
    <x v="0"/>
    <s v="20 minutes"/>
    <n v="2"/>
    <n v="2"/>
    <m/>
    <n v="1"/>
    <m/>
    <d v="2025-03-27T00:00:00"/>
    <d v="2025-03-27T00:00:00"/>
    <d v="2025-03-27T00:00:00"/>
    <x v="0"/>
    <x v="15"/>
    <s v="None"/>
    <x v="0"/>
    <x v="0"/>
    <s v="Yes"/>
    <x v="0"/>
    <s v="No"/>
    <x v="0"/>
    <x v="0"/>
    <x v="0"/>
    <x v="0"/>
    <x v="0"/>
    <x v="1"/>
    <x v="0"/>
    <x v="0"/>
    <x v="0"/>
    <n v="0"/>
    <n v="4"/>
    <n v="0"/>
    <x v="0"/>
    <x v="0"/>
    <s v="OK"/>
    <s v=""/>
  </r>
  <r>
    <x v="0"/>
    <s v="High"/>
    <s v="Regular"/>
    <n v="202503131028"/>
    <x v="36"/>
    <x v="3"/>
    <x v="0"/>
    <x v="121"/>
    <x v="0"/>
    <x v="5"/>
    <x v="0"/>
    <x v="0"/>
    <s v="15 minutes"/>
    <n v="2"/>
    <m/>
    <m/>
    <m/>
    <m/>
    <d v="2025-03-13T00:00:00"/>
    <d v="2025-03-13T00:00:00"/>
    <d v="2025-03-13T00:00:00"/>
    <x v="0"/>
    <x v="10"/>
    <s v="None"/>
    <x v="0"/>
    <x v="0"/>
    <s v="No"/>
    <x v="0"/>
    <s v="No"/>
    <x v="0"/>
    <x v="0"/>
    <x v="0"/>
    <x v="0"/>
    <x v="0"/>
    <x v="1"/>
    <x v="0"/>
    <x v="0"/>
    <x v="0"/>
    <n v="0"/>
    <n v="29"/>
    <n v="0"/>
    <x v="0"/>
    <x v="0"/>
    <s v="OK"/>
    <s v=""/>
  </r>
  <r>
    <x v="1"/>
    <s v="Normal"/>
    <s v="Regular"/>
    <n v="202504111108"/>
    <x v="12"/>
    <x v="1"/>
    <x v="0"/>
    <x v="122"/>
    <x v="0"/>
    <x v="1"/>
    <x v="1"/>
    <x v="0"/>
    <s v="1 hour"/>
    <m/>
    <m/>
    <m/>
    <m/>
    <m/>
    <d v="2025-04-11T00:00:00"/>
    <d v="2025-04-11T00:00:00"/>
    <d v="2025-04-11T00:00:00"/>
    <x v="0"/>
    <x v="4"/>
    <s v="None"/>
    <x v="0"/>
    <x v="0"/>
    <s v="No"/>
    <x v="1"/>
    <s v="No"/>
    <x v="0"/>
    <x v="0"/>
    <x v="0"/>
    <x v="0"/>
    <x v="0"/>
    <x v="1"/>
    <x v="0"/>
    <x v="0"/>
    <x v="0"/>
    <n v="0"/>
    <n v="0"/>
    <n v="0"/>
    <x v="0"/>
    <x v="0"/>
    <s v="OK"/>
    <s v=""/>
  </r>
  <r>
    <x v="0"/>
    <s v="Normal"/>
    <s v="Regular"/>
    <n v="202503281134"/>
    <x v="37"/>
    <x v="3"/>
    <x v="0"/>
    <x v="123"/>
    <x v="0"/>
    <x v="1"/>
    <x v="2"/>
    <x v="0"/>
    <s v="5 minutes"/>
    <m/>
    <m/>
    <m/>
    <n v="2"/>
    <m/>
    <d v="2025-03-28T00:00:00"/>
    <d v="2025-04-02T00:00:00"/>
    <d v="2025-04-02T00:00:00"/>
    <x v="0"/>
    <x v="15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3261018"/>
    <x v="37"/>
    <x v="3"/>
    <x v="0"/>
    <x v="124"/>
    <x v="0"/>
    <x v="1"/>
    <x v="0"/>
    <x v="0"/>
    <s v="10 minutes"/>
    <n v="4"/>
    <m/>
    <m/>
    <n v="2"/>
    <m/>
    <d v="2025-03-26T00:00:00"/>
    <d v="2025-04-01T00:00:00"/>
    <d v="2025-04-01T00:00:00"/>
    <x v="0"/>
    <x v="8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011327"/>
    <x v="37"/>
    <x v="3"/>
    <x v="0"/>
    <x v="125"/>
    <x v="0"/>
    <x v="1"/>
    <x v="0"/>
    <x v="0"/>
    <s v="15 minutes"/>
    <n v="4"/>
    <m/>
    <m/>
    <n v="2"/>
    <m/>
    <d v="2025-04-01T00:00:00"/>
    <d v="2025-04-04T00:00:00"/>
    <d v="2025-04-04T00:00:00"/>
    <x v="0"/>
    <x v="11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Normal"/>
    <s v="Regular"/>
    <n v="202504151312"/>
    <x v="24"/>
    <x v="1"/>
    <x v="0"/>
    <x v="126"/>
    <x v="0"/>
    <x v="1"/>
    <x v="0"/>
    <x v="0"/>
    <s v="5 minutes"/>
    <n v="1"/>
    <m/>
    <m/>
    <m/>
    <m/>
    <d v="2025-04-15T00:00:00"/>
    <d v="2025-04-17T00:00:00"/>
    <d v="2025-04-17T00:00:00"/>
    <x v="0"/>
    <x v="17"/>
    <s v="None"/>
    <x v="0"/>
    <x v="0"/>
    <s v="No"/>
    <x v="1"/>
    <s v="No"/>
    <x v="0"/>
    <x v="0"/>
    <x v="0"/>
    <x v="0"/>
    <x v="0"/>
    <x v="1"/>
    <x v="0"/>
    <x v="0"/>
    <x v="0"/>
    <n v="0"/>
    <n v="0"/>
    <n v="0"/>
    <x v="0"/>
    <x v="0"/>
    <s v="OK"/>
    <s v=""/>
  </r>
  <r>
    <x v="1"/>
    <s v="Normal"/>
    <s v="Regular"/>
    <n v="202504231409"/>
    <x v="22"/>
    <x v="1"/>
    <x v="0"/>
    <x v="127"/>
    <x v="0"/>
    <x v="2"/>
    <x v="0"/>
    <x v="0"/>
    <s v="20 minutes"/>
    <n v="2"/>
    <m/>
    <m/>
    <m/>
    <m/>
    <d v="2025-04-23T00:00:00"/>
    <d v="2025-04-25T00:00:00"/>
    <d v="2025-04-25T00:00:00"/>
    <x v="0"/>
    <x v="0"/>
    <s v="None"/>
    <x v="0"/>
    <x v="0"/>
    <s v="No"/>
    <x v="1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0"/>
    <s v="Normal"/>
    <s v="Regular"/>
    <n v="202503250916"/>
    <x v="0"/>
    <x v="0"/>
    <x v="0"/>
    <x v="128"/>
    <x v="0"/>
    <x v="2"/>
    <x v="0"/>
    <x v="0"/>
    <s v="30 minutes"/>
    <n v="4"/>
    <m/>
    <m/>
    <n v="2"/>
    <m/>
    <d v="2025-03-25T00:00:00"/>
    <d v="2025-03-27T00:00:00"/>
    <d v="2025-03-27T00:00:00"/>
    <x v="0"/>
    <x v="8"/>
    <s v="None"/>
    <x v="0"/>
    <x v="0"/>
    <s v="No"/>
    <x v="1"/>
    <s v="No"/>
    <x v="0"/>
    <x v="0"/>
    <x v="0"/>
    <x v="0"/>
    <x v="0"/>
    <x v="0"/>
    <x v="0"/>
    <x v="0"/>
    <x v="0"/>
    <n v="0"/>
    <n v="3"/>
    <n v="0"/>
    <x v="0"/>
    <x v="0"/>
    <s v="OK"/>
    <s v=""/>
  </r>
  <r>
    <x v="2"/>
    <s v="High"/>
    <s v="Regular"/>
    <n v="202504010854"/>
    <x v="27"/>
    <x v="2"/>
    <x v="1"/>
    <x v="129"/>
    <x v="0"/>
    <x v="0"/>
    <x v="0"/>
    <x v="1"/>
    <s v="5 hours"/>
    <n v="10"/>
    <n v="4"/>
    <m/>
    <m/>
    <m/>
    <d v="2025-04-01T00:00:00"/>
    <d v="2025-04-01T00:00:00"/>
    <d v="2025-04-01T00:00:00"/>
    <x v="0"/>
    <x v="12"/>
    <s v="None"/>
    <x v="1"/>
    <x v="1"/>
    <s v="No"/>
    <x v="0"/>
    <s v="No"/>
    <x v="0"/>
    <x v="0"/>
    <x v="0"/>
    <x v="0"/>
    <x v="0"/>
    <x v="1"/>
    <x v="0"/>
    <x v="0"/>
    <x v="1"/>
    <n v="0"/>
    <n v="4"/>
    <n v="0"/>
    <x v="0"/>
    <x v="0"/>
    <s v="OK"/>
    <s v=""/>
  </r>
  <r>
    <x v="2"/>
    <s v="Normal"/>
    <s v="Regular"/>
    <n v="202504090838"/>
    <x v="27"/>
    <x v="2"/>
    <x v="0"/>
    <x v="130"/>
    <x v="0"/>
    <x v="2"/>
    <x v="0"/>
    <x v="0"/>
    <s v="2 hours"/>
    <n v="10"/>
    <n v="4"/>
    <m/>
    <m/>
    <m/>
    <d v="2025-04-09T00:00:00"/>
    <d v="2025-04-09T00:00:00"/>
    <d v="2025-04-09T00:00:00"/>
    <x v="0"/>
    <x v="4"/>
    <s v="None"/>
    <x v="1"/>
    <x v="1"/>
    <s v="No"/>
    <x v="1"/>
    <s v="No"/>
    <x v="0"/>
    <x v="0"/>
    <x v="0"/>
    <x v="0"/>
    <x v="0"/>
    <x v="1"/>
    <x v="0"/>
    <x v="0"/>
    <x v="1"/>
    <n v="0"/>
    <n v="2"/>
    <n v="0"/>
    <x v="0"/>
    <x v="0"/>
    <s v="OK"/>
    <s v=""/>
  </r>
  <r>
    <x v="0"/>
    <s v="Normal"/>
    <s v="Regular"/>
    <n v="202504070818"/>
    <x v="38"/>
    <x v="3"/>
    <x v="0"/>
    <x v="131"/>
    <x v="0"/>
    <x v="3"/>
    <x v="0"/>
    <x v="0"/>
    <s v="3 hours"/>
    <n v="2"/>
    <m/>
    <m/>
    <m/>
    <m/>
    <d v="2025-04-07T00:00:00"/>
    <d v="2025-04-07T00:00:00"/>
    <d v="2025-04-07T00:00:00"/>
    <x v="0"/>
    <x v="5"/>
    <s v="None"/>
    <x v="1"/>
    <x v="1"/>
    <s v="No"/>
    <x v="1"/>
    <s v="No"/>
    <x v="1"/>
    <x v="0"/>
    <x v="0"/>
    <x v="0"/>
    <x v="0"/>
    <x v="1"/>
    <x v="0"/>
    <x v="0"/>
    <x v="1"/>
    <n v="0"/>
    <n v="3"/>
    <n v="0"/>
    <x v="0"/>
    <x v="0"/>
    <s v="OK"/>
    <s v=""/>
  </r>
  <r>
    <x v="1"/>
    <s v="Normal"/>
    <s v="Regular"/>
    <n v="202504091513"/>
    <x v="19"/>
    <x v="1"/>
    <x v="0"/>
    <x v="132"/>
    <x v="0"/>
    <x v="1"/>
    <x v="0"/>
    <x v="0"/>
    <s v="30 minutes"/>
    <n v="1"/>
    <m/>
    <m/>
    <m/>
    <m/>
    <d v="2025-04-09T00:00:00"/>
    <d v="2025-04-09T00:00:00"/>
    <d v="2025-04-09T00:00:00"/>
    <x v="0"/>
    <x v="3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091527"/>
    <x v="39"/>
    <x v="2"/>
    <x v="0"/>
    <x v="133"/>
    <x v="0"/>
    <x v="0"/>
    <x v="0"/>
    <x v="0"/>
    <s v="15 minutes"/>
    <n v="4"/>
    <m/>
    <m/>
    <n v="1"/>
    <m/>
    <d v="2025-04-09T00:00:00"/>
    <d v="2025-04-10T00:00:00"/>
    <d v="2025-04-10T00:00:00"/>
    <x v="0"/>
    <x v="5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041054"/>
    <x v="23"/>
    <x v="3"/>
    <x v="0"/>
    <x v="134"/>
    <x v="0"/>
    <x v="1"/>
    <x v="0"/>
    <x v="0"/>
    <s v="5 minutes"/>
    <n v="2"/>
    <m/>
    <m/>
    <n v="2"/>
    <m/>
    <d v="2025-04-04T00:00:00"/>
    <d v="2025-04-10T00:00:00"/>
    <d v="2025-04-10T00:00:00"/>
    <x v="0"/>
    <x v="4"/>
    <s v="None"/>
    <x v="0"/>
    <x v="0"/>
    <s v="No"/>
    <x v="1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0"/>
    <s v="Normal"/>
    <s v="Regular"/>
    <n v="202504101436"/>
    <x v="38"/>
    <x v="3"/>
    <x v="0"/>
    <x v="135"/>
    <x v="0"/>
    <x v="1"/>
    <x v="0"/>
    <x v="0"/>
    <s v="5 minutes"/>
    <n v="2"/>
    <m/>
    <m/>
    <m/>
    <m/>
    <d v="2025-04-10T00:00:00"/>
    <d v="2025-04-11T00:00:00"/>
    <d v="2025-04-11T00:00:00"/>
    <x v="0"/>
    <x v="4"/>
    <s v="None"/>
    <x v="0"/>
    <x v="0"/>
    <s v="No"/>
    <x v="1"/>
    <s v="No"/>
    <x v="1"/>
    <x v="0"/>
    <x v="0"/>
    <x v="0"/>
    <x v="0"/>
    <x v="0"/>
    <x v="2"/>
    <x v="0"/>
    <x v="0"/>
    <n v="0"/>
    <n v="0"/>
    <n v="0"/>
    <x v="0"/>
    <x v="0"/>
    <s v="OK"/>
    <n v="2"/>
  </r>
  <r>
    <x v="0"/>
    <s v="Normal"/>
    <s v="Regular"/>
    <n v="202504091051"/>
    <x v="17"/>
    <x v="3"/>
    <x v="0"/>
    <x v="136"/>
    <x v="0"/>
    <x v="7"/>
    <x v="0"/>
    <x v="0"/>
    <s v="10 minutes"/>
    <n v="2"/>
    <m/>
    <m/>
    <n v="2"/>
    <m/>
    <d v="2025-04-09T00:00:00"/>
    <d v="2025-04-11T00:00:00"/>
    <d v="2025-04-11T00:00:00"/>
    <x v="0"/>
    <x v="4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081059"/>
    <x v="17"/>
    <x v="3"/>
    <x v="0"/>
    <x v="137"/>
    <x v="0"/>
    <x v="1"/>
    <x v="0"/>
    <x v="0"/>
    <s v="10 minutes"/>
    <n v="2"/>
    <m/>
    <m/>
    <n v="4"/>
    <m/>
    <d v="2025-04-08T00:00:00"/>
    <d v="2025-04-10T00:00:00"/>
    <d v="2025-04-10T00:00:00"/>
    <x v="0"/>
    <x v="5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090952"/>
    <x v="14"/>
    <x v="3"/>
    <x v="0"/>
    <x v="138"/>
    <x v="0"/>
    <x v="3"/>
    <x v="0"/>
    <x v="0"/>
    <s v="30 minutes"/>
    <n v="2"/>
    <m/>
    <m/>
    <m/>
    <m/>
    <d v="2025-04-09T00:00:00"/>
    <d v="2025-04-10T00:00:00"/>
    <d v="2025-04-10T00:00:00"/>
    <x v="0"/>
    <x v="5"/>
    <s v="None"/>
    <x v="1"/>
    <x v="1"/>
    <s v="No"/>
    <x v="1"/>
    <s v="No"/>
    <x v="0"/>
    <x v="0"/>
    <x v="0"/>
    <x v="0"/>
    <x v="0"/>
    <x v="0"/>
    <x v="0"/>
    <x v="0"/>
    <x v="1"/>
    <n v="0"/>
    <n v="0"/>
    <n v="0"/>
    <x v="0"/>
    <x v="0"/>
    <s v="OK"/>
    <s v=""/>
  </r>
  <r>
    <x v="0"/>
    <s v="Normal"/>
    <s v="Regular"/>
    <n v="202504101115"/>
    <x v="17"/>
    <x v="3"/>
    <x v="0"/>
    <x v="139"/>
    <x v="0"/>
    <x v="1"/>
    <x v="0"/>
    <x v="0"/>
    <s v="15 minutes"/>
    <n v="2"/>
    <m/>
    <m/>
    <m/>
    <m/>
    <d v="2025-04-10T00:00:00"/>
    <d v="2025-04-11T00:00:00"/>
    <d v="2025-04-11T00:00:00"/>
    <x v="0"/>
    <x v="16"/>
    <s v="None"/>
    <x v="0"/>
    <x v="0"/>
    <s v="No"/>
    <x v="1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0"/>
    <s v="Normal"/>
    <s v="Regular"/>
    <n v="202504091100"/>
    <x v="17"/>
    <x v="3"/>
    <x v="0"/>
    <x v="140"/>
    <x v="0"/>
    <x v="7"/>
    <x v="0"/>
    <x v="0"/>
    <s v="15 minutes"/>
    <n v="2"/>
    <m/>
    <m/>
    <m/>
    <m/>
    <d v="2025-04-09T00:00:00"/>
    <d v="2025-04-11T00:00:00"/>
    <d v="2025-04-11T00:00:00"/>
    <x v="0"/>
    <x v="4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091332"/>
    <x v="17"/>
    <x v="3"/>
    <x v="0"/>
    <x v="141"/>
    <x v="0"/>
    <x v="1"/>
    <x v="0"/>
    <x v="0"/>
    <s v="10 minutes"/>
    <n v="2"/>
    <m/>
    <m/>
    <n v="2"/>
    <n v="2"/>
    <d v="2025-04-09T00:00:00"/>
    <d v="2025-04-11T00:00:00"/>
    <d v="2025-04-11T00:00:00"/>
    <x v="0"/>
    <x v="4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High"/>
    <s v="Regular"/>
    <n v="202504141018"/>
    <x v="2"/>
    <x v="2"/>
    <x v="0"/>
    <x v="142"/>
    <x v="0"/>
    <x v="3"/>
    <x v="0"/>
    <x v="0"/>
    <s v="30 minutes"/>
    <n v="2"/>
    <m/>
    <m/>
    <m/>
    <m/>
    <d v="2025-04-14T00:00:00"/>
    <d v="2025-04-14T00:00:00"/>
    <d v="2025-04-14T00:00:00"/>
    <x v="0"/>
    <x v="16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110834"/>
    <x v="27"/>
    <x v="2"/>
    <x v="0"/>
    <x v="143"/>
    <x v="0"/>
    <x v="4"/>
    <x v="0"/>
    <x v="0"/>
    <s v="2.5 hours"/>
    <n v="4"/>
    <n v="2"/>
    <m/>
    <m/>
    <m/>
    <d v="2025-04-11T00:00:00"/>
    <d v="2025-04-14T00:00:00"/>
    <d v="2025-04-14T00:00:00"/>
    <x v="0"/>
    <x v="14"/>
    <s v="None"/>
    <x v="1"/>
    <x v="1"/>
    <s v="No"/>
    <x v="1"/>
    <s v="No"/>
    <x v="1"/>
    <x v="0"/>
    <x v="0"/>
    <x v="0"/>
    <x v="0"/>
    <x v="0"/>
    <x v="0"/>
    <x v="0"/>
    <x v="1"/>
    <n v="0"/>
    <n v="10"/>
    <n v="0"/>
    <x v="0"/>
    <x v="0"/>
    <s v="OK"/>
    <s v=""/>
  </r>
  <r>
    <x v="0"/>
    <s v="Normal"/>
    <s v="Regular"/>
    <n v="202504040904"/>
    <x v="18"/>
    <x v="5"/>
    <x v="0"/>
    <x v="144"/>
    <x v="0"/>
    <x v="1"/>
    <x v="0"/>
    <x v="0"/>
    <s v="10 minutes"/>
    <n v="2"/>
    <m/>
    <m/>
    <m/>
    <m/>
    <d v="2025-04-04T00:00:00"/>
    <d v="2025-04-14T00:00:00"/>
    <d v="2025-04-14T00:00:00"/>
    <x v="0"/>
    <x v="16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2"/>
    <s v="Normal"/>
    <s v="Regular"/>
    <n v="202504141410"/>
    <x v="27"/>
    <x v="2"/>
    <x v="5"/>
    <x v="145"/>
    <x v="0"/>
    <x v="3"/>
    <x v="0"/>
    <x v="0"/>
    <s v="3 hours"/>
    <n v="4"/>
    <n v="2"/>
    <m/>
    <m/>
    <m/>
    <d v="2025-04-14T00:00:00"/>
    <d v="2025-04-14T00:00:00"/>
    <d v="2025-04-15T00:00:00"/>
    <x v="0"/>
    <x v="9"/>
    <s v="None"/>
    <x v="1"/>
    <x v="1"/>
    <s v="No"/>
    <x v="1"/>
    <s v="No"/>
    <x v="0"/>
    <x v="0"/>
    <x v="0"/>
    <x v="0"/>
    <x v="0"/>
    <x v="1"/>
    <x v="0"/>
    <x v="0"/>
    <x v="1"/>
    <n v="1"/>
    <n v="4"/>
    <n v="0"/>
    <x v="0"/>
    <x v="0"/>
    <s v="OK"/>
    <s v=""/>
  </r>
  <r>
    <x v="0"/>
    <s v="Normal"/>
    <s v="Regular"/>
    <n v="202504100926"/>
    <x v="0"/>
    <x v="0"/>
    <x v="0"/>
    <x v="146"/>
    <x v="0"/>
    <x v="7"/>
    <x v="2"/>
    <x v="0"/>
    <s v="5 minutes"/>
    <m/>
    <m/>
    <m/>
    <n v="2"/>
    <m/>
    <d v="2025-04-10T00:00:00"/>
    <d v="2025-04-15T00:00:00"/>
    <d v="2025-04-15T00:00:00"/>
    <x v="0"/>
    <x v="6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141419"/>
    <x v="14"/>
    <x v="3"/>
    <x v="0"/>
    <x v="147"/>
    <x v="0"/>
    <x v="1"/>
    <x v="0"/>
    <x v="0"/>
    <s v="10 minutes"/>
    <n v="2"/>
    <m/>
    <m/>
    <m/>
    <m/>
    <d v="2025-04-14T00:00:00"/>
    <d v="2025-04-15T00:00:00"/>
    <d v="2025-04-15T00:00:00"/>
    <x v="0"/>
    <x v="6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151103"/>
    <x v="40"/>
    <x v="3"/>
    <x v="0"/>
    <x v="148"/>
    <x v="0"/>
    <x v="4"/>
    <x v="0"/>
    <x v="0"/>
    <s v="2 hours"/>
    <n v="2"/>
    <n v="2"/>
    <m/>
    <n v="1"/>
    <m/>
    <d v="2025-04-15T00:00:00"/>
    <d v="2025-04-07T00:00:00"/>
    <d v="2025-04-07T00:00:00"/>
    <x v="0"/>
    <x v="17"/>
    <s v="None"/>
    <x v="1"/>
    <x v="1"/>
    <s v="No"/>
    <x v="1"/>
    <s v="No"/>
    <x v="0"/>
    <x v="0"/>
    <x v="0"/>
    <x v="0"/>
    <x v="0"/>
    <x v="1"/>
    <x v="0"/>
    <x v="1"/>
    <x v="1"/>
    <n v="0"/>
    <n v="8"/>
    <n v="0"/>
    <x v="0"/>
    <x v="0"/>
    <s v="OK"/>
    <s v=""/>
  </r>
  <r>
    <x v="0"/>
    <s v="Normal"/>
    <s v="Regular"/>
    <n v="202504141513"/>
    <x v="0"/>
    <x v="0"/>
    <x v="0"/>
    <x v="149"/>
    <x v="0"/>
    <x v="4"/>
    <x v="0"/>
    <x v="0"/>
    <s v="1 hour"/>
    <n v="4"/>
    <m/>
    <m/>
    <n v="2"/>
    <m/>
    <d v="2025-04-14T00:00:00"/>
    <d v="2025-04-17T00:00:00"/>
    <d v="2025-04-17T00:00:00"/>
    <x v="0"/>
    <x v="17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151147"/>
    <x v="17"/>
    <x v="3"/>
    <x v="0"/>
    <x v="150"/>
    <x v="0"/>
    <x v="1"/>
    <x v="0"/>
    <x v="0"/>
    <s v="3 minutes"/>
    <n v="1"/>
    <m/>
    <m/>
    <m/>
    <m/>
    <d v="2025-04-15T00:00:00"/>
    <d v="2025-04-16T00:00:00"/>
    <d v="2025-04-16T00:00:00"/>
    <x v="0"/>
    <x v="7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2"/>
    <s v="Normal"/>
    <s v="Regular"/>
    <n v="202504161354"/>
    <x v="27"/>
    <x v="2"/>
    <x v="5"/>
    <x v="151"/>
    <x v="0"/>
    <x v="3"/>
    <x v="0"/>
    <x v="0"/>
    <s v="3 hours"/>
    <n v="4"/>
    <n v="2"/>
    <m/>
    <m/>
    <m/>
    <d v="2025-04-16T00:00:00"/>
    <d v="2025-04-17T00:00:00"/>
    <d v="2025-04-22T00:00:00"/>
    <x v="0"/>
    <x v="0"/>
    <s v="None"/>
    <x v="1"/>
    <x v="1"/>
    <s v="No"/>
    <x v="1"/>
    <s v="No"/>
    <x v="1"/>
    <x v="0"/>
    <x v="0"/>
    <x v="0"/>
    <x v="0"/>
    <x v="1"/>
    <x v="0"/>
    <x v="0"/>
    <x v="2"/>
    <n v="1"/>
    <n v="4"/>
    <n v="0"/>
    <x v="0"/>
    <x v="0"/>
    <s v="OK"/>
    <s v=""/>
  </r>
  <r>
    <x v="0"/>
    <s v="Normal"/>
    <s v="Regular"/>
    <n v="202504161444"/>
    <x v="17"/>
    <x v="3"/>
    <x v="0"/>
    <x v="152"/>
    <x v="0"/>
    <x v="1"/>
    <x v="0"/>
    <x v="0"/>
    <s v="10 minutes"/>
    <n v="2"/>
    <m/>
    <m/>
    <m/>
    <m/>
    <d v="2025-04-16T00:00:00"/>
    <d v="2025-04-17T00:00:00"/>
    <d v="2025-04-17T00:00:00"/>
    <x v="0"/>
    <x v="2"/>
    <s v="None"/>
    <x v="0"/>
    <x v="0"/>
    <s v="No"/>
    <x v="1"/>
    <s v="No"/>
    <x v="0"/>
    <x v="0"/>
    <x v="0"/>
    <x v="0"/>
    <x v="0"/>
    <x v="1"/>
    <x v="0"/>
    <x v="0"/>
    <x v="0"/>
    <n v="0"/>
    <n v="1"/>
    <n v="0"/>
    <x v="0"/>
    <x v="0"/>
    <s v="OK"/>
    <s v=""/>
  </r>
  <r>
    <x v="2"/>
    <s v="Normal"/>
    <s v="Regular"/>
    <n v="202504220838"/>
    <x v="27"/>
    <x v="2"/>
    <x v="2"/>
    <x v="153"/>
    <x v="0"/>
    <x v="5"/>
    <x v="0"/>
    <x v="0"/>
    <s v="2 hours"/>
    <n v="4"/>
    <n v="2"/>
    <m/>
    <m/>
    <m/>
    <d v="2025-04-22T00:00:00"/>
    <d v="2025-04-23T00:00:00"/>
    <d v="2025-04-24T00:00:00"/>
    <x v="0"/>
    <x v="13"/>
    <s v="None"/>
    <x v="1"/>
    <x v="1"/>
    <s v="No"/>
    <x v="1"/>
    <s v="No"/>
    <x v="0"/>
    <x v="0"/>
    <x v="0"/>
    <x v="0"/>
    <x v="0"/>
    <x v="1"/>
    <x v="0"/>
    <x v="1"/>
    <x v="1"/>
    <n v="1"/>
    <n v="3"/>
    <n v="0"/>
    <x v="0"/>
    <x v="0"/>
    <s v="OK"/>
    <s v=""/>
  </r>
  <r>
    <x v="0"/>
    <s v="Normal"/>
    <s v="Regular"/>
    <n v="202504170913"/>
    <x v="14"/>
    <x v="3"/>
    <x v="0"/>
    <x v="154"/>
    <x v="0"/>
    <x v="3"/>
    <x v="0"/>
    <x v="0"/>
    <s v="1.5 hours"/>
    <n v="2"/>
    <m/>
    <m/>
    <m/>
    <m/>
    <d v="2025-04-17T00:00:00"/>
    <d v="2025-04-22T00:00:00"/>
    <d v="2025-04-22T00:00:00"/>
    <x v="0"/>
    <x v="9"/>
    <s v="None"/>
    <x v="1"/>
    <x v="1"/>
    <s v="No"/>
    <x v="1"/>
    <s v="No"/>
    <x v="1"/>
    <x v="0"/>
    <x v="0"/>
    <x v="0"/>
    <x v="0"/>
    <x v="1"/>
    <x v="0"/>
    <x v="0"/>
    <x v="2"/>
    <n v="0"/>
    <n v="1"/>
    <n v="0"/>
    <x v="0"/>
    <x v="0"/>
    <s v="OK"/>
    <s v=""/>
  </r>
  <r>
    <x v="0"/>
    <s v="Normal"/>
    <s v="Regular"/>
    <n v="202504221441"/>
    <x v="37"/>
    <x v="3"/>
    <x v="0"/>
    <x v="155"/>
    <x v="0"/>
    <x v="0"/>
    <x v="0"/>
    <x v="0"/>
    <s v="20 minutes"/>
    <n v="4"/>
    <m/>
    <m/>
    <n v="2"/>
    <m/>
    <d v="2025-04-22T00:00:00"/>
    <d v="2025-04-23T00:00:00"/>
    <d v="2025-04-23T00:00:00"/>
    <x v="0"/>
    <x v="0"/>
    <s v="None"/>
    <x v="0"/>
    <x v="0"/>
    <s v="No"/>
    <x v="1"/>
    <s v="No"/>
    <x v="0"/>
    <x v="0"/>
    <x v="0"/>
    <x v="1"/>
    <x v="0"/>
    <x v="0"/>
    <x v="0"/>
    <x v="0"/>
    <x v="0"/>
    <n v="0"/>
    <n v="3"/>
    <n v="0"/>
    <x v="0"/>
    <x v="0"/>
    <s v="OK"/>
    <s v=""/>
  </r>
  <r>
    <x v="0"/>
    <s v="Normal"/>
    <s v="Regular"/>
    <n v="202504220825"/>
    <x v="38"/>
    <x v="3"/>
    <x v="0"/>
    <x v="156"/>
    <x v="0"/>
    <x v="0"/>
    <x v="0"/>
    <x v="0"/>
    <s v="40 minutes"/>
    <n v="2"/>
    <m/>
    <m/>
    <m/>
    <m/>
    <d v="2025-04-22T00:00:00"/>
    <d v="2025-04-22T00:00:00"/>
    <d v="2025-04-22T00:00:00"/>
    <x v="0"/>
    <x v="2"/>
    <s v="None"/>
    <x v="1"/>
    <x v="1"/>
    <s v="No"/>
    <x v="1"/>
    <s v="No"/>
    <x v="0"/>
    <x v="0"/>
    <x v="0"/>
    <x v="0"/>
    <x v="0"/>
    <x v="0"/>
    <x v="0"/>
    <x v="0"/>
    <x v="1"/>
    <n v="0"/>
    <n v="0"/>
    <n v="0"/>
    <x v="0"/>
    <x v="0"/>
    <s v="OK"/>
    <s v=""/>
  </r>
  <r>
    <x v="0"/>
    <s v="Normal"/>
    <s v="Regular"/>
    <n v="202504161344"/>
    <x v="18"/>
    <x v="5"/>
    <x v="0"/>
    <x v="157"/>
    <x v="0"/>
    <x v="3"/>
    <x v="0"/>
    <x v="0"/>
    <s v="30 minutes"/>
    <n v="2"/>
    <m/>
    <m/>
    <m/>
    <m/>
    <d v="2025-04-16T00:00:00"/>
    <d v="2025-04-23T00:00:00"/>
    <d v="2025-04-23T00:00:00"/>
    <x v="0"/>
    <x v="9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Normal"/>
    <s v="Regular"/>
    <n v="202504231614"/>
    <x v="41"/>
    <x v="1"/>
    <x v="0"/>
    <x v="158"/>
    <x v="0"/>
    <x v="3"/>
    <x v="0"/>
    <x v="0"/>
    <s v="1.5 hours"/>
    <n v="2"/>
    <m/>
    <m/>
    <m/>
    <m/>
    <d v="2025-04-23T00:00:00"/>
    <d v="2025-04-23T00:00:00"/>
    <d v="2025-04-24T00:00:00"/>
    <x v="0"/>
    <x v="0"/>
    <s v="None"/>
    <x v="1"/>
    <x v="1"/>
    <s v="No"/>
    <x v="1"/>
    <s v="No"/>
    <x v="0"/>
    <x v="0"/>
    <x v="0"/>
    <x v="0"/>
    <x v="0"/>
    <x v="0"/>
    <x v="0"/>
    <x v="0"/>
    <x v="1"/>
    <n v="1"/>
    <n v="2"/>
    <n v="0"/>
    <x v="0"/>
    <x v="0"/>
    <s v="OK"/>
    <s v=""/>
  </r>
  <r>
    <x v="1"/>
    <s v="Normal"/>
    <s v="Regular"/>
    <n v="202504241427"/>
    <x v="29"/>
    <x v="1"/>
    <x v="0"/>
    <x v="159"/>
    <x v="0"/>
    <x v="1"/>
    <x v="0"/>
    <x v="2"/>
    <s v="2 minutes"/>
    <n v="1"/>
    <m/>
    <m/>
    <m/>
    <m/>
    <d v="2025-04-24T00:00:00"/>
    <d v="2025-04-28T00:00:00"/>
    <d v="2025-04-28T00:00:00"/>
    <x v="0"/>
    <x v="0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Normal"/>
    <s v="Regular"/>
    <n v="202504251457"/>
    <x v="30"/>
    <x v="1"/>
    <x v="0"/>
    <x v="160"/>
    <x v="0"/>
    <x v="1"/>
    <x v="0"/>
    <x v="0"/>
    <s v="25 minutes"/>
    <n v="4"/>
    <m/>
    <m/>
    <m/>
    <m/>
    <d v="2025-04-25T00:00:00"/>
    <d v="2025-04-29T00:00:00"/>
    <d v="2025-04-29T00:00:00"/>
    <x v="0"/>
    <x v="13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010857"/>
    <x v="17"/>
    <x v="3"/>
    <x v="0"/>
    <x v="161"/>
    <x v="0"/>
    <x v="7"/>
    <x v="0"/>
    <x v="0"/>
    <s v="10 minutes"/>
    <n v="2"/>
    <m/>
    <n v="4"/>
    <m/>
    <m/>
    <d v="2025-04-01T00:00:00"/>
    <d v="2025-04-03T00:00:00"/>
    <d v="2025-04-03T00:00:00"/>
    <x v="0"/>
    <x v="18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011041"/>
    <x v="17"/>
    <x v="3"/>
    <x v="0"/>
    <x v="162"/>
    <x v="0"/>
    <x v="0"/>
    <x v="0"/>
    <x v="0"/>
    <s v="20 minutes"/>
    <n v="2"/>
    <m/>
    <m/>
    <m/>
    <m/>
    <d v="2025-04-01T00:00:00"/>
    <d v="2025-04-02T00:00:00"/>
    <d v="2025-04-02T00:00:00"/>
    <x v="0"/>
    <x v="12"/>
    <s v="None"/>
    <x v="1"/>
    <x v="1"/>
    <s v="No"/>
    <x v="1"/>
    <s v="No"/>
    <x v="0"/>
    <x v="0"/>
    <x v="0"/>
    <x v="1"/>
    <x v="0"/>
    <x v="1"/>
    <x v="0"/>
    <x v="0"/>
    <x v="1"/>
    <n v="0"/>
    <n v="3"/>
    <n v="0"/>
    <x v="0"/>
    <x v="0"/>
    <s v="OK"/>
    <s v=""/>
  </r>
  <r>
    <x v="1"/>
    <s v="Normal"/>
    <s v="Regular"/>
    <n v="202503311505"/>
    <x v="22"/>
    <x v="1"/>
    <x v="0"/>
    <x v="163"/>
    <x v="0"/>
    <x v="0"/>
    <x v="0"/>
    <x v="0"/>
    <s v="1 hour"/>
    <n v="4"/>
    <m/>
    <m/>
    <m/>
    <m/>
    <d v="2025-03-31T00:00:00"/>
    <d v="2025-04-02T00:00:00"/>
    <d v="2025-04-02T00:00:00"/>
    <x v="0"/>
    <x v="12"/>
    <s v="None"/>
    <x v="1"/>
    <x v="1"/>
    <s v="No"/>
    <x v="1"/>
    <s v="No"/>
    <x v="0"/>
    <x v="0"/>
    <x v="0"/>
    <x v="1"/>
    <x v="0"/>
    <x v="1"/>
    <x v="0"/>
    <x v="0"/>
    <x v="1"/>
    <n v="0"/>
    <n v="3"/>
    <n v="0"/>
    <x v="0"/>
    <x v="0"/>
    <s v="OK"/>
    <s v=""/>
  </r>
  <r>
    <x v="1"/>
    <s v="Normal"/>
    <s v="Regular"/>
    <n v="202504071112"/>
    <x v="22"/>
    <x v="1"/>
    <x v="0"/>
    <x v="164"/>
    <x v="0"/>
    <x v="1"/>
    <x v="0"/>
    <x v="2"/>
    <s v="5 minutes"/>
    <n v="2"/>
    <m/>
    <m/>
    <m/>
    <m/>
    <d v="2025-04-07T00:00:00"/>
    <d v="2025-04-07T00:00:00"/>
    <d v="2025-04-07T00:00:00"/>
    <x v="0"/>
    <x v="12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030845"/>
    <x v="38"/>
    <x v="3"/>
    <x v="0"/>
    <x v="165"/>
    <x v="0"/>
    <x v="1"/>
    <x v="0"/>
    <x v="0"/>
    <s v="5 minutes"/>
    <n v="2"/>
    <m/>
    <m/>
    <m/>
    <m/>
    <d v="2025-04-03T00:00:00"/>
    <d v="2025-04-04T00:00:00"/>
    <d v="2025-04-04T00:00:00"/>
    <x v="0"/>
    <x v="19"/>
    <s v="None"/>
    <x v="0"/>
    <x v="0"/>
    <s v="No"/>
    <x v="1"/>
    <s v="No"/>
    <x v="0"/>
    <x v="0"/>
    <x v="0"/>
    <x v="0"/>
    <x v="0"/>
    <x v="0"/>
    <x v="0"/>
    <x v="0"/>
    <x v="0"/>
    <n v="0"/>
    <n v="2"/>
    <n v="0"/>
    <x v="0"/>
    <x v="0"/>
    <s v="OK"/>
    <s v=""/>
  </r>
  <r>
    <x v="0"/>
    <s v="High"/>
    <s v="Regular"/>
    <n v="202504020825"/>
    <x v="40"/>
    <x v="3"/>
    <x v="0"/>
    <x v="166"/>
    <x v="0"/>
    <x v="4"/>
    <x v="0"/>
    <x v="0"/>
    <s v="1.5 hours"/>
    <n v="2"/>
    <n v="2"/>
    <m/>
    <n v="2"/>
    <m/>
    <d v="2025-04-02T00:00:00"/>
    <d v="2025-04-04T00:00:00"/>
    <d v="2025-04-04T00:00:00"/>
    <x v="0"/>
    <x v="12"/>
    <s v="None"/>
    <x v="1"/>
    <x v="1"/>
    <s v="No"/>
    <x v="1"/>
    <s v="No"/>
    <x v="0"/>
    <x v="0"/>
    <x v="0"/>
    <x v="0"/>
    <x v="0"/>
    <x v="0"/>
    <x v="0"/>
    <x v="1"/>
    <x v="1"/>
    <n v="0"/>
    <n v="1"/>
    <n v="0"/>
    <x v="0"/>
    <x v="0"/>
    <s v="OK"/>
    <s v=""/>
  </r>
  <r>
    <x v="0"/>
    <s v="High"/>
    <s v="Regular"/>
    <n v="202504081112"/>
    <x v="21"/>
    <x v="3"/>
    <x v="0"/>
    <x v="167"/>
    <x v="0"/>
    <x v="2"/>
    <x v="0"/>
    <x v="0"/>
    <s v="30 minutes"/>
    <n v="2"/>
    <m/>
    <m/>
    <n v="1"/>
    <m/>
    <d v="2025-04-08T00:00:00"/>
    <d v="2025-04-09T00:00:00"/>
    <d v="2025-04-09T00:00:00"/>
    <x v="0"/>
    <x v="3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041346"/>
    <x v="14"/>
    <x v="3"/>
    <x v="0"/>
    <x v="168"/>
    <x v="0"/>
    <x v="3"/>
    <x v="0"/>
    <x v="0"/>
    <s v="1.5 hours"/>
    <n v="2"/>
    <m/>
    <m/>
    <m/>
    <m/>
    <d v="2025-04-04T00:00:00"/>
    <d v="2025-04-04T00:00:00"/>
    <d v="2025-04-04T00:00:00"/>
    <x v="0"/>
    <x v="3"/>
    <s v="None"/>
    <x v="0"/>
    <x v="0"/>
    <s v="No"/>
    <x v="1"/>
    <s v="No"/>
    <x v="0"/>
    <x v="0"/>
    <x v="0"/>
    <x v="0"/>
    <x v="0"/>
    <x v="1"/>
    <x v="0"/>
    <x v="0"/>
    <x v="0"/>
    <n v="0"/>
    <n v="3"/>
    <n v="0"/>
    <x v="0"/>
    <x v="0"/>
    <s v="OK"/>
    <s v=""/>
  </r>
  <r>
    <x v="1"/>
    <s v="Normal"/>
    <s v="Regular"/>
    <n v="202503311032"/>
    <x v="26"/>
    <x v="1"/>
    <x v="0"/>
    <x v="169"/>
    <x v="0"/>
    <x v="7"/>
    <x v="2"/>
    <x v="2"/>
    <s v="10 minutes"/>
    <n v="1"/>
    <m/>
    <m/>
    <n v="1"/>
    <m/>
    <d v="2025-03-31T00:00:00"/>
    <d v="2025-04-02T00:00:00"/>
    <d v="2025-04-02T00:00:00"/>
    <x v="0"/>
    <x v="18"/>
    <s v="None"/>
    <x v="0"/>
    <x v="0"/>
    <s v="No"/>
    <x v="1"/>
    <s v="No"/>
    <x v="0"/>
    <x v="0"/>
    <x v="0"/>
    <x v="0"/>
    <x v="0"/>
    <x v="1"/>
    <x v="0"/>
    <x v="0"/>
    <x v="0"/>
    <n v="0"/>
    <n v="1"/>
    <n v="0"/>
    <x v="0"/>
    <x v="0"/>
    <s v="OK"/>
    <s v=""/>
  </r>
  <r>
    <x v="1"/>
    <s v="Normal"/>
    <s v="Regular"/>
    <n v="202504011031"/>
    <x v="26"/>
    <x v="1"/>
    <x v="0"/>
    <x v="170"/>
    <x v="0"/>
    <x v="1"/>
    <x v="0"/>
    <x v="0"/>
    <s v="5 minutes"/>
    <n v="2"/>
    <m/>
    <m/>
    <m/>
    <m/>
    <d v="2025-04-01T00:00:00"/>
    <d v="2025-04-02T00:00:00"/>
    <d v="2025-04-02T00:00:00"/>
    <x v="0"/>
    <x v="15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Normal"/>
    <s v="Regular"/>
    <n v="202501210854"/>
    <x v="26"/>
    <x v="1"/>
    <x v="0"/>
    <x v="171"/>
    <x v="0"/>
    <x v="0"/>
    <x v="0"/>
    <x v="0"/>
    <s v="15 minutes"/>
    <n v="2"/>
    <m/>
    <m/>
    <m/>
    <m/>
    <d v="2025-01-21T00:00:00"/>
    <d v="2025-01-22T00:00:00"/>
    <d v="2025-01-22T00:00:00"/>
    <x v="0"/>
    <x v="0"/>
    <s v="None"/>
    <x v="1"/>
    <x v="3"/>
    <s v="No"/>
    <x v="1"/>
    <s v="No"/>
    <x v="0"/>
    <x v="0"/>
    <x v="0"/>
    <x v="0"/>
    <x v="0"/>
    <x v="0"/>
    <x v="0"/>
    <x v="0"/>
    <x v="1"/>
    <n v="0"/>
    <n v="66"/>
    <n v="0"/>
    <x v="0"/>
    <x v="0"/>
    <s v="OK"/>
    <s v=""/>
  </r>
  <r>
    <x v="0"/>
    <s v="Normal"/>
    <s v="Regular"/>
    <n v="202502071440"/>
    <x v="17"/>
    <x v="3"/>
    <x v="0"/>
    <x v="172"/>
    <x v="0"/>
    <x v="5"/>
    <x v="0"/>
    <x v="0"/>
    <s v="20 minutes"/>
    <n v="2"/>
    <m/>
    <m/>
    <n v="2"/>
    <m/>
    <d v="2025-02-07T00:00:00"/>
    <d v="2025-02-14T00:00:00"/>
    <d v="2025-02-14T00:00:00"/>
    <x v="0"/>
    <x v="2"/>
    <s v="None"/>
    <x v="0"/>
    <x v="0"/>
    <s v="No"/>
    <x v="1"/>
    <s v="Yes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241414"/>
    <x v="31"/>
    <x v="1"/>
    <x v="0"/>
    <x v="173"/>
    <x v="0"/>
    <x v="0"/>
    <x v="0"/>
    <x v="0"/>
    <s v="15 minutes"/>
    <n v="2"/>
    <m/>
    <m/>
    <m/>
    <m/>
    <d v="2025-04-24T00:00:00"/>
    <d v="2025-04-24T00:00:00"/>
    <d v="2025-04-24T00:00:00"/>
    <x v="0"/>
    <x v="10"/>
    <s v="None"/>
    <x v="1"/>
    <x v="1"/>
    <s v="No"/>
    <x v="0"/>
    <s v="No"/>
    <x v="0"/>
    <x v="0"/>
    <x v="0"/>
    <x v="0"/>
    <x v="0"/>
    <x v="0"/>
    <x v="0"/>
    <x v="0"/>
    <x v="1"/>
    <n v="0"/>
    <n v="1"/>
    <n v="0"/>
    <x v="0"/>
    <x v="0"/>
    <s v="OK"/>
    <s v=""/>
  </r>
  <r>
    <x v="0"/>
    <s v="Normal"/>
    <s v="Regular"/>
    <n v="202501280822"/>
    <x v="17"/>
    <x v="3"/>
    <x v="0"/>
    <x v="174"/>
    <x v="0"/>
    <x v="0"/>
    <x v="0"/>
    <x v="0"/>
    <s v="1 hour"/>
    <n v="2"/>
    <m/>
    <m/>
    <m/>
    <m/>
    <d v="2025-01-28T00:00:00"/>
    <d v="2025-01-28T00:00:00"/>
    <d v="2025-01-28T00:00:00"/>
    <x v="0"/>
    <x v="15"/>
    <s v="None"/>
    <x v="1"/>
    <x v="3"/>
    <s v="No"/>
    <x v="1"/>
    <s v="No"/>
    <x v="1"/>
    <x v="1"/>
    <x v="0"/>
    <x v="0"/>
    <x v="0"/>
    <x v="1"/>
    <x v="0"/>
    <x v="0"/>
    <x v="1"/>
    <n v="0"/>
    <n v="46"/>
    <n v="0"/>
    <x v="0"/>
    <x v="0"/>
    <s v="OK"/>
    <s v=""/>
  </r>
  <r>
    <x v="2"/>
    <s v="Normal"/>
    <s v="Regular"/>
    <n v="202501151603"/>
    <x v="27"/>
    <x v="2"/>
    <x v="0"/>
    <x v="175"/>
    <x v="0"/>
    <x v="4"/>
    <x v="0"/>
    <x v="0"/>
    <s v="2 hours"/>
    <n v="4"/>
    <n v="2"/>
    <m/>
    <n v="4"/>
    <m/>
    <d v="2025-01-15T00:00:00"/>
    <d v="2025-01-17T00:00:00"/>
    <d v="2025-01-20T00:00:00"/>
    <x v="0"/>
    <x v="13"/>
    <s v="None"/>
    <x v="1"/>
    <x v="3"/>
    <s v="No"/>
    <x v="1"/>
    <s v="No"/>
    <x v="0"/>
    <x v="0"/>
    <x v="0"/>
    <x v="0"/>
    <x v="0"/>
    <x v="0"/>
    <x v="0"/>
    <x v="0"/>
    <x v="2"/>
    <n v="1"/>
    <n v="69"/>
    <n v="0"/>
    <x v="0"/>
    <x v="0"/>
    <s v="OK"/>
    <s v=""/>
  </r>
  <r>
    <x v="0"/>
    <s v="Normal"/>
    <s v="Regular"/>
    <n v="202504111155"/>
    <x v="23"/>
    <x v="3"/>
    <x v="0"/>
    <x v="176"/>
    <x v="0"/>
    <x v="3"/>
    <x v="0"/>
    <x v="0"/>
    <s v="2 hours"/>
    <n v="4"/>
    <m/>
    <m/>
    <m/>
    <m/>
    <d v="2025-04-11T00:00:00"/>
    <d v="2025-04-11T00:00:00"/>
    <d v="2025-04-14T00:00:00"/>
    <x v="0"/>
    <x v="17"/>
    <s v="None"/>
    <x v="1"/>
    <x v="1"/>
    <s v="No"/>
    <x v="1"/>
    <s v="No"/>
    <x v="0"/>
    <x v="0"/>
    <x v="0"/>
    <x v="0"/>
    <x v="0"/>
    <x v="1"/>
    <x v="0"/>
    <x v="0"/>
    <x v="2"/>
    <n v="1"/>
    <n v="3"/>
    <n v="0"/>
    <x v="0"/>
    <x v="0"/>
    <s v="OK"/>
    <s v=""/>
  </r>
  <r>
    <x v="0"/>
    <s v="Normal"/>
    <s v="OT"/>
    <n v="2025032191943"/>
    <x v="27"/>
    <x v="2"/>
    <x v="0"/>
    <x v="177"/>
    <x v="1"/>
    <x v="2"/>
    <x v="0"/>
    <x v="4"/>
    <s v="3 hours"/>
    <n v="6"/>
    <n v="2"/>
    <m/>
    <n v="6"/>
    <m/>
    <d v="2025-04-01T00:00:00"/>
    <d v="2025-03-26T00:00:00"/>
    <d v="2025-03-26T00:00:00"/>
    <x v="0"/>
    <x v="8"/>
    <s v="None"/>
    <x v="1"/>
    <x v="2"/>
    <s v="No"/>
    <x v="1"/>
    <s v="No"/>
    <x v="0"/>
    <x v="0"/>
    <x v="0"/>
    <x v="0"/>
    <x v="0"/>
    <x v="1"/>
    <x v="0"/>
    <x v="0"/>
    <x v="1"/>
    <n v="0"/>
    <n v="4"/>
    <n v="0"/>
    <x v="0"/>
    <x v="0"/>
    <s v="OK"/>
    <s v=""/>
  </r>
  <r>
    <x v="0"/>
    <s v="Normal"/>
    <s v="Regular"/>
    <n v="202503251402"/>
    <x v="14"/>
    <x v="3"/>
    <x v="0"/>
    <x v="178"/>
    <x v="0"/>
    <x v="2"/>
    <x v="0"/>
    <x v="0"/>
    <s v="2.5 hours"/>
    <n v="4"/>
    <m/>
    <m/>
    <m/>
    <n v="2"/>
    <d v="2025-03-25T00:00:00"/>
    <d v="2025-03-27T00:00:00"/>
    <d v="2025-03-27T00:00:00"/>
    <x v="0"/>
    <x v="12"/>
    <s v="None"/>
    <x v="1"/>
    <x v="2"/>
    <s v="No"/>
    <x v="1"/>
    <s v="No"/>
    <x v="0"/>
    <x v="0"/>
    <x v="0"/>
    <x v="0"/>
    <x v="0"/>
    <x v="0"/>
    <x v="0"/>
    <x v="0"/>
    <x v="1"/>
    <n v="0"/>
    <n v="7"/>
    <n v="0"/>
    <x v="0"/>
    <x v="0"/>
    <s v="OK"/>
    <s v=""/>
  </r>
  <r>
    <x v="0"/>
    <s v="Normal"/>
    <s v="Regular"/>
    <n v="202503251338"/>
    <x v="14"/>
    <x v="3"/>
    <x v="0"/>
    <x v="179"/>
    <x v="0"/>
    <x v="5"/>
    <x v="0"/>
    <x v="0"/>
    <s v="20 minutes"/>
    <n v="2"/>
    <m/>
    <m/>
    <m/>
    <m/>
    <d v="2025-03-25T00:00:00"/>
    <d v="2025-03-27T00:00:00"/>
    <d v="2025-03-27T00:00:00"/>
    <x v="0"/>
    <x v="2"/>
    <s v="None"/>
    <x v="1"/>
    <x v="1"/>
    <s v="No"/>
    <x v="1"/>
    <s v="No"/>
    <x v="0"/>
    <x v="0"/>
    <x v="0"/>
    <x v="0"/>
    <x v="0"/>
    <x v="0"/>
    <x v="0"/>
    <x v="0"/>
    <x v="1"/>
    <n v="0"/>
    <n v="16"/>
    <n v="0"/>
    <x v="0"/>
    <x v="0"/>
    <s v="OK"/>
    <s v=""/>
  </r>
  <r>
    <x v="0"/>
    <s v="Normal"/>
    <s v="Regular"/>
    <n v="202503270903"/>
    <x v="14"/>
    <x v="3"/>
    <x v="0"/>
    <x v="180"/>
    <x v="0"/>
    <x v="2"/>
    <x v="0"/>
    <x v="0"/>
    <s v="15 minutes"/>
    <n v="2"/>
    <m/>
    <m/>
    <m/>
    <m/>
    <d v="2025-03-27T00:00:00"/>
    <d v="2025-03-27T00:00:00"/>
    <d v="2025-03-27T00:00:00"/>
    <x v="0"/>
    <x v="8"/>
    <s v="None"/>
    <x v="0"/>
    <x v="0"/>
    <s v="No"/>
    <x v="1"/>
    <s v="No"/>
    <x v="0"/>
    <x v="0"/>
    <x v="0"/>
    <x v="0"/>
    <x v="0"/>
    <x v="1"/>
    <x v="0"/>
    <x v="0"/>
    <x v="0"/>
    <n v="0"/>
    <n v="3"/>
    <n v="0"/>
    <x v="0"/>
    <x v="0"/>
    <s v="OK"/>
    <s v=""/>
  </r>
  <r>
    <x v="0"/>
    <s v="Normal"/>
    <s v="Regular"/>
    <n v="202503261428"/>
    <x v="17"/>
    <x v="3"/>
    <x v="0"/>
    <x v="181"/>
    <x v="0"/>
    <x v="1"/>
    <x v="0"/>
    <x v="0"/>
    <s v="5 minutes"/>
    <n v="2"/>
    <m/>
    <m/>
    <m/>
    <m/>
    <d v="2025-03-26T00:00:00"/>
    <d v="2025-03-27T00:00:00"/>
    <d v="2025-03-27T00:00:00"/>
    <x v="0"/>
    <x v="8"/>
    <s v="None"/>
    <x v="0"/>
    <x v="0"/>
    <s v="No"/>
    <x v="1"/>
    <s v="No"/>
    <x v="0"/>
    <x v="0"/>
    <x v="0"/>
    <x v="0"/>
    <x v="0"/>
    <x v="0"/>
    <x v="0"/>
    <x v="0"/>
    <x v="0"/>
    <n v="0"/>
    <n v="3"/>
    <n v="0"/>
    <x v="0"/>
    <x v="0"/>
    <s v="OK"/>
    <s v=""/>
  </r>
  <r>
    <x v="0"/>
    <s v="Normal"/>
    <s v="Regular"/>
    <n v="202503201251"/>
    <x v="17"/>
    <x v="3"/>
    <x v="0"/>
    <x v="182"/>
    <x v="1"/>
    <x v="2"/>
    <x v="0"/>
    <x v="0"/>
    <s v="2 hours"/>
    <n v="4"/>
    <m/>
    <m/>
    <m/>
    <m/>
    <d v="2025-03-20T00:00:00"/>
    <d v="2025-03-26T00:00:00"/>
    <d v="2025-03-26T00:00:00"/>
    <x v="0"/>
    <x v="17"/>
    <s v="None"/>
    <x v="1"/>
    <x v="2"/>
    <s v="No"/>
    <x v="1"/>
    <s v="No"/>
    <x v="0"/>
    <x v="0"/>
    <x v="0"/>
    <x v="0"/>
    <x v="1"/>
    <x v="1"/>
    <x v="0"/>
    <x v="1"/>
    <x v="1"/>
    <n v="0"/>
    <n v="16"/>
    <n v="0"/>
    <x v="0"/>
    <x v="0"/>
    <s v="OK"/>
    <s v=""/>
  </r>
  <r>
    <x v="1"/>
    <s v="Normal"/>
    <s v="Regular"/>
    <n v="202502200900"/>
    <x v="10"/>
    <x v="1"/>
    <x v="0"/>
    <x v="183"/>
    <x v="1"/>
    <x v="5"/>
    <x v="0"/>
    <x v="0"/>
    <s v="3 hours"/>
    <n v="2"/>
    <m/>
    <m/>
    <m/>
    <m/>
    <d v="2025-02-21T00:00:00"/>
    <d v="2025-03-06T00:00:00"/>
    <d v="2025-03-06T00:00:00"/>
    <x v="4"/>
    <x v="8"/>
    <d v="2025-03-05T00:00:00"/>
    <x v="1"/>
    <x v="2"/>
    <s v="No"/>
    <x v="1"/>
    <s v="Yes"/>
    <x v="0"/>
    <x v="0"/>
    <x v="0"/>
    <x v="0"/>
    <x v="0"/>
    <x v="0"/>
    <x v="0"/>
    <x v="0"/>
    <x v="2"/>
    <n v="0"/>
    <n v="0"/>
    <n v="9"/>
    <x v="1"/>
    <x v="0"/>
    <s v="OK"/>
    <s v=""/>
  </r>
  <r>
    <x v="0"/>
    <s v="Normal"/>
    <s v="Regular"/>
    <n v="202504251522"/>
    <x v="17"/>
    <x v="3"/>
    <x v="0"/>
    <x v="184"/>
    <x v="0"/>
    <x v="1"/>
    <x v="0"/>
    <x v="0"/>
    <s v="5 minutes"/>
    <n v="2"/>
    <m/>
    <m/>
    <m/>
    <m/>
    <d v="2025-04-25T00:00:00"/>
    <d v="2025-04-30T00:00:00"/>
    <d v="2025-04-30T00:00:00"/>
    <x v="0"/>
    <x v="14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291521"/>
    <x v="17"/>
    <x v="3"/>
    <x v="0"/>
    <x v="185"/>
    <x v="0"/>
    <x v="2"/>
    <x v="0"/>
    <x v="0"/>
    <s v="20 minutes"/>
    <n v="6"/>
    <m/>
    <m/>
    <m/>
    <m/>
    <d v="2025-04-29T00:00:00"/>
    <d v="2025-04-30T00:00:00"/>
    <d v="2025-04-30T00:00:00"/>
    <x v="0"/>
    <x v="14"/>
    <s v="None"/>
    <x v="0"/>
    <x v="0"/>
    <s v="No"/>
    <x v="1"/>
    <s v="No"/>
    <x v="0"/>
    <x v="1"/>
    <x v="1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251329"/>
    <x v="18"/>
    <x v="5"/>
    <x v="0"/>
    <x v="186"/>
    <x v="0"/>
    <x v="3"/>
    <x v="0"/>
    <x v="0"/>
    <s v="30 minutes"/>
    <n v="2"/>
    <m/>
    <m/>
    <m/>
    <m/>
    <d v="2025-04-25T00:00:00"/>
    <d v="2025-04-28T00:00:00"/>
    <d v="2025-04-28T00:00:00"/>
    <x v="0"/>
    <x v="0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3271152"/>
    <x v="31"/>
    <x v="1"/>
    <x v="0"/>
    <x v="187"/>
    <x v="0"/>
    <x v="7"/>
    <x v="0"/>
    <x v="0"/>
    <s v="10 minutes"/>
    <n v="2"/>
    <m/>
    <m/>
    <m/>
    <m/>
    <d v="2025-03-27T00:00:00"/>
    <d v="2025-03-27T00:00:00"/>
    <d v="2025-03-27T00:00:00"/>
    <x v="0"/>
    <x v="15"/>
    <s v="None"/>
    <x v="0"/>
    <x v="0"/>
    <s v="Yes"/>
    <x v="0"/>
    <s v="No"/>
    <x v="0"/>
    <x v="0"/>
    <x v="0"/>
    <x v="0"/>
    <x v="0"/>
    <x v="0"/>
    <x v="0"/>
    <x v="0"/>
    <x v="0"/>
    <n v="0"/>
    <n v="4"/>
    <n v="0"/>
    <x v="0"/>
    <x v="0"/>
    <s v="OK"/>
    <s v=""/>
  </r>
  <r>
    <x v="1"/>
    <s v="Normal"/>
    <s v="Regular"/>
    <n v="202504020829"/>
    <x v="19"/>
    <x v="1"/>
    <x v="0"/>
    <x v="188"/>
    <x v="0"/>
    <x v="1"/>
    <x v="0"/>
    <x v="0"/>
    <s v="20 minutes"/>
    <n v="4"/>
    <m/>
    <m/>
    <m/>
    <m/>
    <d v="2025-04-02T00:00:00"/>
    <d v="2025-04-03T00:00:00"/>
    <d v="2025-04-03T00:00:00"/>
    <x v="0"/>
    <x v="18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151051"/>
    <x v="23"/>
    <x v="3"/>
    <x v="5"/>
    <x v="189"/>
    <x v="0"/>
    <x v="1"/>
    <x v="0"/>
    <x v="0"/>
    <s v="5 minutes"/>
    <n v="2"/>
    <m/>
    <m/>
    <m/>
    <m/>
    <d v="2025-04-15T00:00:00"/>
    <d v="2025-04-17T00:00:00"/>
    <d v="2025-04-17T00:00:00"/>
    <x v="0"/>
    <x v="2"/>
    <s v="None"/>
    <x v="0"/>
    <x v="0"/>
    <s v="No"/>
    <x v="1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0"/>
    <s v="Normal"/>
    <s v="Regular"/>
    <n v="202503201315"/>
    <x v="11"/>
    <x v="0"/>
    <x v="0"/>
    <x v="190"/>
    <x v="1"/>
    <x v="4"/>
    <x v="0"/>
    <x v="2"/>
    <s v="1 hour"/>
    <n v="4"/>
    <m/>
    <m/>
    <n v="2"/>
    <m/>
    <d v="2025-03-20T00:00:00"/>
    <d v="2025-04-01T00:00:00"/>
    <d v="2025-04-01T00:00:00"/>
    <x v="1"/>
    <x v="12"/>
    <d v="2025-04-03T00:00:00"/>
    <x v="0"/>
    <x v="0"/>
    <s v="No"/>
    <x v="1"/>
    <s v="No"/>
    <x v="0"/>
    <x v="0"/>
    <x v="0"/>
    <x v="0"/>
    <x v="0"/>
    <x v="0"/>
    <x v="0"/>
    <x v="0"/>
    <x v="0"/>
    <n v="0"/>
    <n v="4"/>
    <n v="10"/>
    <x v="1"/>
    <x v="0"/>
    <s v="OK"/>
    <s v=""/>
  </r>
  <r>
    <x v="1"/>
    <s v="Normal"/>
    <s v="Regular"/>
    <n v="202504080958"/>
    <x v="12"/>
    <x v="1"/>
    <x v="0"/>
    <x v="191"/>
    <x v="0"/>
    <x v="0"/>
    <x v="0"/>
    <x v="0"/>
    <s v="15 minutes"/>
    <n v="4"/>
    <m/>
    <m/>
    <m/>
    <m/>
    <d v="2025-04-08T00:00:00"/>
    <d v="2025-04-08T00:00:00"/>
    <d v="2025-04-08T00:00:00"/>
    <x v="0"/>
    <x v="3"/>
    <s v="None"/>
    <x v="0"/>
    <x v="0"/>
    <s v="No"/>
    <x v="1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1"/>
    <s v="Normal"/>
    <s v="Regular"/>
    <n v="202504140810"/>
    <x v="16"/>
    <x v="1"/>
    <x v="0"/>
    <x v="192"/>
    <x v="0"/>
    <x v="1"/>
    <x v="0"/>
    <x v="0"/>
    <s v="5 minutes"/>
    <n v="1"/>
    <m/>
    <m/>
    <m/>
    <m/>
    <d v="2025-04-14T00:00:00"/>
    <d v="2025-04-14T00:00:00"/>
    <d v="2025-04-14T00:00:00"/>
    <x v="0"/>
    <x v="16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101440"/>
    <x v="37"/>
    <x v="3"/>
    <x v="0"/>
    <x v="193"/>
    <x v="0"/>
    <x v="2"/>
    <x v="0"/>
    <x v="0"/>
    <s v="20 minutes"/>
    <n v="4"/>
    <m/>
    <m/>
    <n v="2"/>
    <m/>
    <d v="2025-04-10T00:00:00"/>
    <d v="2025-04-17T00:00:00"/>
    <d v="2025-04-17T00:00:00"/>
    <x v="0"/>
    <x v="2"/>
    <s v="None"/>
    <x v="0"/>
    <x v="0"/>
    <s v="No"/>
    <x v="1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0"/>
    <s v="Normal"/>
    <s v="Regular"/>
    <n v="202504111020"/>
    <x v="18"/>
    <x v="5"/>
    <x v="0"/>
    <x v="194"/>
    <x v="0"/>
    <x v="3"/>
    <x v="0"/>
    <x v="0"/>
    <s v="30 minutes"/>
    <n v="2"/>
    <m/>
    <m/>
    <m/>
    <m/>
    <d v="2025-04-11T00:00:00"/>
    <d v="2025-04-22T00:00:00"/>
    <d v="2025-04-22T00:00:00"/>
    <x v="0"/>
    <x v="2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161419"/>
    <x v="18"/>
    <x v="5"/>
    <x v="0"/>
    <x v="195"/>
    <x v="0"/>
    <x v="2"/>
    <x v="0"/>
    <x v="0"/>
    <s v="15 minutes"/>
    <n v="4"/>
    <m/>
    <m/>
    <m/>
    <m/>
    <d v="2025-04-16T00:00:00"/>
    <d v="2025-04-22T00:00:00"/>
    <d v="2025-04-22T00:00:00"/>
    <x v="0"/>
    <x v="2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3260921"/>
    <x v="18"/>
    <x v="5"/>
    <x v="0"/>
    <x v="196"/>
    <x v="0"/>
    <x v="0"/>
    <x v="0"/>
    <x v="1"/>
    <s v="0.5 days"/>
    <n v="2"/>
    <n v="10"/>
    <m/>
    <m/>
    <m/>
    <d v="2025-03-26T00:00:00"/>
    <d v="2025-04-03T00:00:00"/>
    <d v="2025-04-04T00:00:00"/>
    <x v="0"/>
    <x v="12"/>
    <s v="None"/>
    <x v="1"/>
    <x v="1"/>
    <s v="No"/>
    <x v="1"/>
    <s v="No"/>
    <x v="0"/>
    <x v="0"/>
    <x v="0"/>
    <x v="0"/>
    <x v="0"/>
    <x v="0"/>
    <x v="0"/>
    <x v="0"/>
    <x v="1"/>
    <n v="1"/>
    <n v="1"/>
    <n v="0"/>
    <x v="0"/>
    <x v="0"/>
    <s v="OK"/>
    <s v=""/>
  </r>
  <r>
    <x v="0"/>
    <s v="Normal"/>
    <s v="Regular"/>
    <n v="202503260926"/>
    <x v="18"/>
    <x v="5"/>
    <x v="0"/>
    <x v="197"/>
    <x v="0"/>
    <x v="4"/>
    <x v="0"/>
    <x v="1"/>
    <s v="3.5 hours"/>
    <n v="2"/>
    <n v="10"/>
    <m/>
    <m/>
    <m/>
    <d v="2025-03-26T00:00:00"/>
    <d v="2025-04-03T00:00:00"/>
    <d v="2025-04-03T00:00:00"/>
    <x v="0"/>
    <x v="12"/>
    <s v="None"/>
    <x v="1"/>
    <x v="1"/>
    <s v="No"/>
    <x v="1"/>
    <s v="No"/>
    <x v="0"/>
    <x v="0"/>
    <x v="0"/>
    <x v="0"/>
    <x v="0"/>
    <x v="1"/>
    <x v="0"/>
    <x v="1"/>
    <x v="1"/>
    <n v="0"/>
    <n v="2"/>
    <n v="0"/>
    <x v="0"/>
    <x v="0"/>
    <s v="OK"/>
    <s v=""/>
  </r>
  <r>
    <x v="0"/>
    <s v="Normal"/>
    <s v="Regular"/>
    <n v="202503181541"/>
    <x v="18"/>
    <x v="5"/>
    <x v="0"/>
    <x v="198"/>
    <x v="1"/>
    <x v="2"/>
    <x v="0"/>
    <x v="4"/>
    <s v="5 hours"/>
    <n v="2"/>
    <n v="10"/>
    <m/>
    <m/>
    <m/>
    <d v="2025-03-20T00:00:00"/>
    <d v="2025-04-01T00:00:00"/>
    <d v="2025-04-03T00:00:00"/>
    <x v="0"/>
    <x v="19"/>
    <s v="None"/>
    <x v="1"/>
    <x v="1"/>
    <s v="No"/>
    <x v="1"/>
    <s v="No"/>
    <x v="1"/>
    <x v="0"/>
    <x v="0"/>
    <x v="1"/>
    <x v="0"/>
    <x v="1"/>
    <x v="0"/>
    <x v="1"/>
    <x v="2"/>
    <n v="2"/>
    <n v="3"/>
    <n v="0"/>
    <x v="0"/>
    <x v="0"/>
    <s v="OK"/>
    <s v=""/>
  </r>
  <r>
    <x v="0"/>
    <s v="Normal"/>
    <s v="Regular"/>
    <n v="202504021337"/>
    <x v="18"/>
    <x v="5"/>
    <x v="0"/>
    <x v="199"/>
    <x v="0"/>
    <x v="3"/>
    <x v="0"/>
    <x v="0"/>
    <s v="1 hour"/>
    <n v="2"/>
    <m/>
    <m/>
    <m/>
    <m/>
    <d v="2025-04-02T00:00:00"/>
    <d v="2025-04-07T00:00:00"/>
    <d v="2025-04-07T00:00:00"/>
    <x v="0"/>
    <x v="12"/>
    <s v="None"/>
    <x v="1"/>
    <x v="1"/>
    <s v="No"/>
    <x v="1"/>
    <s v="No"/>
    <x v="0"/>
    <x v="0"/>
    <x v="0"/>
    <x v="0"/>
    <x v="0"/>
    <x v="0"/>
    <x v="0"/>
    <x v="0"/>
    <x v="1"/>
    <n v="0"/>
    <n v="0"/>
    <n v="0"/>
    <x v="0"/>
    <x v="0"/>
    <s v="OK"/>
    <s v=""/>
  </r>
  <r>
    <x v="0"/>
    <s v="Normal"/>
    <s v="Regular"/>
    <n v="202504020834"/>
    <x v="18"/>
    <x v="5"/>
    <x v="0"/>
    <x v="200"/>
    <x v="0"/>
    <x v="1"/>
    <x v="0"/>
    <x v="0"/>
    <s v="8 minutes"/>
    <n v="2"/>
    <m/>
    <m/>
    <n v="2"/>
    <m/>
    <d v="2025-04-02T00:00:00"/>
    <d v="2025-04-08T00:00:00"/>
    <d v="2025-04-08T00:00:00"/>
    <x v="0"/>
    <x v="19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3171103"/>
    <x v="18"/>
    <x v="5"/>
    <x v="0"/>
    <x v="201"/>
    <x v="1"/>
    <x v="5"/>
    <x v="0"/>
    <x v="2"/>
    <s v="20 minutes"/>
    <n v="6"/>
    <m/>
    <m/>
    <m/>
    <m/>
    <d v="2025-03-18T00:00:00"/>
    <d v="2025-03-25T00:00:00"/>
    <d v="2025-03-25T00:00:00"/>
    <x v="2"/>
    <x v="10"/>
    <d v="2025-03-24T00:00:00"/>
    <x v="0"/>
    <x v="0"/>
    <s v="No"/>
    <x v="1"/>
    <s v="No"/>
    <x v="0"/>
    <x v="0"/>
    <x v="0"/>
    <x v="0"/>
    <x v="0"/>
    <x v="0"/>
    <x v="0"/>
    <x v="0"/>
    <x v="0"/>
    <n v="0"/>
    <n v="21"/>
    <n v="4"/>
    <x v="1"/>
    <x v="0"/>
    <s v="OK"/>
    <s v=""/>
  </r>
  <r>
    <x v="0"/>
    <s v="Normal"/>
    <s v="Regular"/>
    <n v="202504251311"/>
    <x v="18"/>
    <x v="5"/>
    <x v="0"/>
    <x v="202"/>
    <x v="0"/>
    <x v="5"/>
    <x v="0"/>
    <x v="0"/>
    <s v="15 minutes"/>
    <n v="4"/>
    <m/>
    <m/>
    <m/>
    <m/>
    <d v="2025-04-25T00:00:00"/>
    <d v="2025-04-30T00:00:00"/>
    <d v="2025-04-30T00:00:00"/>
    <x v="0"/>
    <x v="14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280829"/>
    <x v="18"/>
    <x v="5"/>
    <x v="0"/>
    <x v="203"/>
    <x v="0"/>
    <x v="0"/>
    <x v="0"/>
    <x v="0"/>
    <s v="10 minutes"/>
    <n v="2"/>
    <m/>
    <m/>
    <m/>
    <m/>
    <d v="2025-04-28T00:00:00"/>
    <d v="2025-04-30T00:00:00"/>
    <d v="2025-04-30T00:00:00"/>
    <x v="0"/>
    <x v="14"/>
    <s v="None"/>
    <x v="0"/>
    <x v="0"/>
    <s v="No"/>
    <x v="1"/>
    <s v="No"/>
    <x v="1"/>
    <x v="1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3181541"/>
    <x v="18"/>
    <x v="5"/>
    <x v="0"/>
    <x v="204"/>
    <x v="1"/>
    <x v="4"/>
    <x v="0"/>
    <x v="4"/>
    <s v="4.5 hours"/>
    <n v="2"/>
    <n v="10"/>
    <m/>
    <m/>
    <m/>
    <d v="2025-03-19T00:00:00"/>
    <d v="2025-04-08T00:00:00"/>
    <d v="2025-04-08T00:00:00"/>
    <x v="0"/>
    <x v="3"/>
    <d v="2025-05-08T00:00:00"/>
    <x v="1"/>
    <x v="1"/>
    <s v="No"/>
    <x v="1"/>
    <s v="No"/>
    <x v="0"/>
    <x v="0"/>
    <x v="0"/>
    <x v="0"/>
    <x v="0"/>
    <x v="1"/>
    <x v="0"/>
    <x v="0"/>
    <x v="1"/>
    <n v="0"/>
    <n v="1"/>
    <n v="0"/>
    <x v="0"/>
    <x v="0"/>
    <s v="OK"/>
    <s v=""/>
  </r>
  <r>
    <x v="0"/>
    <s v="Normal"/>
    <s v="Regular"/>
    <n v="202503191059"/>
    <x v="36"/>
    <x v="3"/>
    <x v="0"/>
    <x v="205"/>
    <x v="1"/>
    <x v="0"/>
    <x v="0"/>
    <x v="0"/>
    <s v="1 hour"/>
    <n v="2"/>
    <n v="2"/>
    <m/>
    <n v="1"/>
    <m/>
    <d v="2025-03-19T00:00:00"/>
    <d v="2025-03-24T00:00:00"/>
    <d v="2025-03-24T00:00:00"/>
    <x v="0"/>
    <x v="18"/>
    <d v="2025-03-26T00:00:00"/>
    <x v="1"/>
    <x v="2"/>
    <s v="No"/>
    <x v="1"/>
    <s v="No"/>
    <x v="0"/>
    <x v="0"/>
    <x v="0"/>
    <x v="0"/>
    <x v="0"/>
    <x v="0"/>
    <x v="0"/>
    <x v="1"/>
    <x v="1"/>
    <n v="0"/>
    <n v="8"/>
    <n v="0"/>
    <x v="0"/>
    <x v="0"/>
    <s v="OK"/>
    <s v=""/>
  </r>
  <r>
    <x v="1"/>
    <s v="Normal"/>
    <s v="Regular"/>
    <n v="202504081340"/>
    <x v="24"/>
    <x v="1"/>
    <x v="0"/>
    <x v="206"/>
    <x v="0"/>
    <x v="0"/>
    <x v="0"/>
    <x v="0"/>
    <s v="10 minutes"/>
    <n v="3"/>
    <m/>
    <m/>
    <m/>
    <m/>
    <d v="2025-04-08T00:00:00"/>
    <d v="2025-04-09T00:00:00"/>
    <d v="2025-04-09T00:00:00"/>
    <x v="0"/>
    <x v="3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080920"/>
    <x v="17"/>
    <x v="3"/>
    <x v="0"/>
    <x v="207"/>
    <x v="0"/>
    <x v="6"/>
    <x v="1"/>
    <x v="2"/>
    <s v="0.5 days"/>
    <m/>
    <m/>
    <m/>
    <m/>
    <m/>
    <d v="2025-04-08T00:00:00"/>
    <d v="2025-04-08T00:00:00"/>
    <d v="2025-04-08T00:00:00"/>
    <x v="0"/>
    <x v="19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Normal"/>
    <s v="Regular"/>
    <n v="202503181418"/>
    <x v="10"/>
    <x v="1"/>
    <x v="0"/>
    <x v="208"/>
    <x v="1"/>
    <x v="2"/>
    <x v="0"/>
    <x v="3"/>
    <s v="1.5 hours"/>
    <n v="88"/>
    <m/>
    <m/>
    <m/>
    <m/>
    <d v="2025-03-18T00:00:00"/>
    <d v="2025-04-10T00:00:00"/>
    <d v="2025-04-10T00:00:00"/>
    <x v="5"/>
    <x v="1"/>
    <d v="2025-04-10T00:00:00"/>
    <x v="0"/>
    <x v="0"/>
    <s v="No"/>
    <x v="1"/>
    <s v="No"/>
    <x v="0"/>
    <x v="0"/>
    <x v="0"/>
    <x v="0"/>
    <x v="1"/>
    <x v="0"/>
    <x v="0"/>
    <x v="0"/>
    <x v="0"/>
    <n v="0"/>
    <n v="8"/>
    <n v="18"/>
    <x v="1"/>
    <x v="0"/>
    <s v="OK"/>
    <s v=""/>
  </r>
  <r>
    <x v="0"/>
    <s v="Normal"/>
    <s v="Regular"/>
    <n v="202504160805"/>
    <x v="27"/>
    <x v="2"/>
    <x v="0"/>
    <x v="209"/>
    <x v="0"/>
    <x v="7"/>
    <x v="2"/>
    <x v="0"/>
    <s v="5 minutes"/>
    <m/>
    <m/>
    <m/>
    <n v="2"/>
    <m/>
    <d v="2025-04-16T00:00:00"/>
    <d v="2025-04-16T00:00:00"/>
    <d v="2025-04-16T00:00:00"/>
    <x v="0"/>
    <x v="17"/>
    <s v="None"/>
    <x v="0"/>
    <x v="0"/>
    <s v="No"/>
    <x v="1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0"/>
    <s v="Normal"/>
    <s v="Regular"/>
    <n v="202504081544"/>
    <x v="17"/>
    <x v="3"/>
    <x v="0"/>
    <x v="210"/>
    <x v="0"/>
    <x v="1"/>
    <x v="0"/>
    <x v="0"/>
    <s v="10 minutes"/>
    <n v="2"/>
    <m/>
    <m/>
    <n v="2"/>
    <m/>
    <d v="2025-04-08T00:00:00"/>
    <d v="2025-04-15T00:00:00"/>
    <d v="2025-04-15T00:00:00"/>
    <x v="0"/>
    <x v="1"/>
    <s v="None"/>
    <x v="0"/>
    <x v="0"/>
    <s v="No"/>
    <x v="1"/>
    <s v="No"/>
    <x v="0"/>
    <x v="0"/>
    <x v="0"/>
    <x v="0"/>
    <x v="0"/>
    <x v="0"/>
    <x v="0"/>
    <x v="0"/>
    <x v="0"/>
    <n v="0"/>
    <n v="5"/>
    <n v="0"/>
    <x v="0"/>
    <x v="0"/>
    <s v="OK"/>
    <s v=""/>
  </r>
  <r>
    <x v="0"/>
    <s v="Normal"/>
    <s v="Regular"/>
    <n v="202404151123"/>
    <x v="17"/>
    <x v="3"/>
    <x v="0"/>
    <x v="211"/>
    <x v="0"/>
    <x v="1"/>
    <x v="0"/>
    <x v="0"/>
    <s v="2 minutes"/>
    <n v="1"/>
    <m/>
    <m/>
    <m/>
    <m/>
    <d v="2025-04-15T00:00:00"/>
    <d v="2025-04-15T00:00:00"/>
    <d v="2025-04-15T00:00:00"/>
    <x v="0"/>
    <x v="1"/>
    <s v="None"/>
    <x v="0"/>
    <x v="0"/>
    <s v="No"/>
    <x v="1"/>
    <s v="Yes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091336"/>
    <x v="17"/>
    <x v="3"/>
    <x v="0"/>
    <x v="212"/>
    <x v="0"/>
    <x v="3"/>
    <x v="0"/>
    <x v="0"/>
    <s v="1 hour"/>
    <n v="6"/>
    <m/>
    <m/>
    <m/>
    <m/>
    <d v="2025-04-09T00:00:00"/>
    <d v="2025-04-15T00:00:00"/>
    <d v="2025-04-15T00:00:00"/>
    <x v="0"/>
    <x v="7"/>
    <s v="None"/>
    <x v="0"/>
    <x v="0"/>
    <s v="No"/>
    <x v="1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0"/>
    <s v="Normal"/>
    <s v="Regular"/>
    <n v="202504161428"/>
    <x v="17"/>
    <x v="3"/>
    <x v="0"/>
    <x v="213"/>
    <x v="0"/>
    <x v="1"/>
    <x v="0"/>
    <x v="0"/>
    <s v="10 minutes"/>
    <n v="2"/>
    <m/>
    <m/>
    <m/>
    <m/>
    <d v="2025-04-16T00:00:00"/>
    <d v="2025-04-17T00:00:00"/>
    <d v="2025-04-17T00:00:00"/>
    <x v="0"/>
    <x v="17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151127"/>
    <x v="17"/>
    <x v="3"/>
    <x v="0"/>
    <x v="214"/>
    <x v="0"/>
    <x v="1"/>
    <x v="1"/>
    <x v="0"/>
    <s v="2 hours"/>
    <m/>
    <m/>
    <m/>
    <m/>
    <m/>
    <d v="2025-04-15T00:00:00"/>
    <d v="2025-04-23T00:00:00"/>
    <d v="2025-04-23T00:00:00"/>
    <x v="0"/>
    <x v="1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031312"/>
    <x v="27"/>
    <x v="2"/>
    <x v="0"/>
    <x v="215"/>
    <x v="0"/>
    <x v="7"/>
    <x v="2"/>
    <x v="0"/>
    <s v="5 minutes"/>
    <m/>
    <m/>
    <m/>
    <n v="2"/>
    <m/>
    <d v="2025-04-03T00:00:00"/>
    <d v="2025-04-04T00:00:00"/>
    <d v="2025-04-04T00:00:00"/>
    <x v="0"/>
    <x v="11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Normal"/>
    <s v="Regular"/>
    <n v="202503280919"/>
    <x v="24"/>
    <x v="1"/>
    <x v="0"/>
    <x v="216"/>
    <x v="0"/>
    <x v="7"/>
    <x v="2"/>
    <x v="0"/>
    <s v="10 minutes"/>
    <m/>
    <m/>
    <m/>
    <n v="16"/>
    <m/>
    <d v="2025-03-28T00:00:00"/>
    <d v="2025-04-03T00:00:00"/>
    <d v="2025-04-03T00:00:00"/>
    <x v="0"/>
    <x v="18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011340"/>
    <x v="42"/>
    <x v="3"/>
    <x v="0"/>
    <x v="217"/>
    <x v="0"/>
    <x v="1"/>
    <x v="0"/>
    <x v="0"/>
    <s v="15 minutes"/>
    <n v="6"/>
    <m/>
    <m/>
    <m/>
    <m/>
    <d v="2025-04-01T00:00:00"/>
    <d v="2025-04-03T00:00:00"/>
    <d v="2025-04-03T00:00:00"/>
    <x v="0"/>
    <x v="19"/>
    <s v="None"/>
    <x v="0"/>
    <x v="0"/>
    <s v="No"/>
    <x v="1"/>
    <s v="No"/>
    <x v="0"/>
    <x v="0"/>
    <x v="0"/>
    <x v="0"/>
    <x v="0"/>
    <x v="0"/>
    <x v="0"/>
    <x v="0"/>
    <x v="0"/>
    <n v="0"/>
    <n v="3"/>
    <n v="0"/>
    <x v="0"/>
    <x v="0"/>
    <s v="OK"/>
    <s v=""/>
  </r>
  <r>
    <x v="1"/>
    <s v="Normal"/>
    <s v="Regular"/>
    <n v="202504091444"/>
    <x v="31"/>
    <x v="1"/>
    <x v="0"/>
    <x v="218"/>
    <x v="0"/>
    <x v="3"/>
    <x v="0"/>
    <x v="0"/>
    <s v="20 minutes"/>
    <n v="2"/>
    <m/>
    <m/>
    <n v="1"/>
    <m/>
    <d v="2025-04-09T00:00:00"/>
    <d v="2025-04-09T00:00:00"/>
    <d v="2025-04-09T00:00:00"/>
    <x v="0"/>
    <x v="5"/>
    <s v="None"/>
    <x v="0"/>
    <x v="0"/>
    <s v="No"/>
    <x v="1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1"/>
    <s v="Backburner"/>
    <s v="Regular"/>
    <n v="202504010901"/>
    <x v="43"/>
    <x v="1"/>
    <x v="0"/>
    <x v="219"/>
    <x v="0"/>
    <x v="1"/>
    <x v="0"/>
    <x v="0"/>
    <s v="25 minutes"/>
    <n v="2"/>
    <m/>
    <m/>
    <m/>
    <m/>
    <d v="2025-04-01T00:00:00"/>
    <d v="2025-04-04T00:00:00"/>
    <d v="2025-04-04T00:00:00"/>
    <x v="0"/>
    <x v="11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Normal"/>
    <s v="Regular"/>
    <n v="202502271333"/>
    <x v="44"/>
    <x v="4"/>
    <x v="0"/>
    <x v="220"/>
    <x v="0"/>
    <x v="1"/>
    <x v="0"/>
    <x v="0"/>
    <s v="5 minutes"/>
    <n v="8"/>
    <m/>
    <m/>
    <m/>
    <m/>
    <d v="2025-02-27T00:00:00"/>
    <d v="2025-03-07T00:00:00"/>
    <d v="2025-03-07T00:00:00"/>
    <x v="0"/>
    <x v="16"/>
    <s v="None"/>
    <x v="0"/>
    <x v="0"/>
    <s v="No"/>
    <x v="1"/>
    <s v="No"/>
    <x v="0"/>
    <x v="0"/>
    <x v="0"/>
    <x v="0"/>
    <x v="0"/>
    <x v="0"/>
    <x v="0"/>
    <x v="0"/>
    <x v="0"/>
    <n v="0"/>
    <n v="26"/>
    <n v="0"/>
    <x v="0"/>
    <x v="0"/>
    <s v="OK"/>
    <s v=""/>
  </r>
  <r>
    <x v="0"/>
    <s v="Normal"/>
    <s v="Regular"/>
    <n v="202503041328"/>
    <x v="17"/>
    <x v="3"/>
    <x v="0"/>
    <x v="221"/>
    <x v="0"/>
    <x v="7"/>
    <x v="0"/>
    <x v="0"/>
    <s v="15 minutes"/>
    <m/>
    <m/>
    <m/>
    <m/>
    <m/>
    <d v="2025-03-04T00:00:00"/>
    <d v="2025-03-13T00:00:00"/>
    <d v="2025-03-13T00:00:00"/>
    <x v="0"/>
    <x v="18"/>
    <s v="None"/>
    <x v="0"/>
    <x v="0"/>
    <s v="No"/>
    <x v="1"/>
    <s v="Yes"/>
    <x v="0"/>
    <x v="1"/>
    <x v="0"/>
    <x v="0"/>
    <x v="0"/>
    <x v="0"/>
    <x v="0"/>
    <x v="0"/>
    <x v="0"/>
    <n v="0"/>
    <n v="0"/>
    <n v="0"/>
    <x v="0"/>
    <x v="0"/>
    <s v="OK"/>
    <s v=""/>
  </r>
  <r>
    <x v="1"/>
    <s v="Normal"/>
    <s v="Regular"/>
    <n v="202503181339"/>
    <x v="24"/>
    <x v="1"/>
    <x v="0"/>
    <x v="222"/>
    <x v="1"/>
    <x v="7"/>
    <x v="0"/>
    <x v="0"/>
    <s v="20 minutes"/>
    <n v="2"/>
    <m/>
    <m/>
    <m/>
    <m/>
    <d v="2025-03-18T00:00:00"/>
    <d v="2025-03-27T00:00:00"/>
    <d v="2025-03-27T00:00:00"/>
    <x v="6"/>
    <x v="15"/>
    <d v="2025-03-21T00:00:00"/>
    <x v="0"/>
    <x v="0"/>
    <s v="No"/>
    <x v="1"/>
    <s v="No"/>
    <x v="0"/>
    <x v="0"/>
    <x v="0"/>
    <x v="0"/>
    <x v="0"/>
    <x v="1"/>
    <x v="0"/>
    <x v="0"/>
    <x v="0"/>
    <n v="0"/>
    <n v="4"/>
    <n v="3"/>
    <x v="1"/>
    <x v="0"/>
    <s v="OK"/>
    <s v=""/>
  </r>
  <r>
    <x v="0"/>
    <s v="Normal"/>
    <s v="Regular"/>
    <n v="202703131420"/>
    <x v="17"/>
    <x v="3"/>
    <x v="0"/>
    <x v="223"/>
    <x v="0"/>
    <x v="2"/>
    <x v="0"/>
    <x v="0"/>
    <s v="1 hour"/>
    <n v="8"/>
    <m/>
    <m/>
    <n v="12"/>
    <m/>
    <d v="2025-03-13T00:00:00"/>
    <d v="2025-03-17T00:00:00"/>
    <d v="2025-03-17T00:00:00"/>
    <x v="0"/>
    <x v="8"/>
    <s v="None"/>
    <x v="5"/>
    <x v="2"/>
    <s v="No"/>
    <x v="1"/>
    <s v="No"/>
    <x v="0"/>
    <x v="0"/>
    <x v="0"/>
    <x v="1"/>
    <x v="0"/>
    <x v="1"/>
    <x v="0"/>
    <x v="0"/>
    <x v="2"/>
    <n v="0"/>
    <n v="11"/>
    <n v="0"/>
    <x v="0"/>
    <x v="0"/>
    <s v="OK"/>
    <s v=""/>
  </r>
  <r>
    <x v="0"/>
    <s v="Normal"/>
    <s v="Regular"/>
    <n v="202504251312"/>
    <x v="27"/>
    <x v="2"/>
    <x v="0"/>
    <x v="224"/>
    <x v="0"/>
    <x v="1"/>
    <x v="1"/>
    <x v="0"/>
    <s v="1 day"/>
    <m/>
    <m/>
    <m/>
    <m/>
    <m/>
    <d v="2025-04-25T00:00:00"/>
    <d v="2025-04-28T00:00:00"/>
    <d v="2025-04-28T00:00:00"/>
    <x v="0"/>
    <x v="0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231105"/>
    <x v="17"/>
    <x v="3"/>
    <x v="0"/>
    <x v="225"/>
    <x v="0"/>
    <x v="5"/>
    <x v="0"/>
    <x v="0"/>
    <s v="30 minutes"/>
    <n v="2"/>
    <m/>
    <m/>
    <m/>
    <m/>
    <d v="2025-04-23T00:00:00"/>
    <d v="2025-04-29T00:00:00"/>
    <d v="2025-04-29T00:00:00"/>
    <x v="0"/>
    <x v="14"/>
    <s v="None"/>
    <x v="5"/>
    <x v="1"/>
    <s v="No"/>
    <x v="1"/>
    <s v="No"/>
    <x v="0"/>
    <x v="0"/>
    <x v="0"/>
    <x v="0"/>
    <x v="0"/>
    <x v="0"/>
    <x v="0"/>
    <x v="1"/>
    <x v="2"/>
    <n v="0"/>
    <n v="1"/>
    <n v="0"/>
    <x v="0"/>
    <x v="0"/>
    <s v="OK"/>
    <s v=""/>
  </r>
  <r>
    <x v="0"/>
    <s v="Normal"/>
    <s v="Regular"/>
    <n v="202504291038"/>
    <x v="17"/>
    <x v="3"/>
    <x v="0"/>
    <x v="226"/>
    <x v="0"/>
    <x v="0"/>
    <x v="0"/>
    <x v="0"/>
    <s v="15 minutes"/>
    <n v="2"/>
    <m/>
    <m/>
    <m/>
    <m/>
    <d v="2025-04-29T00:00:00"/>
    <d v="2025-04-29T00:00:00"/>
    <d v="2025-04-29T00:00:00"/>
    <x v="0"/>
    <x v="14"/>
    <s v="None"/>
    <x v="0"/>
    <x v="0"/>
    <s v="No"/>
    <x v="1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1"/>
    <s v="Normal"/>
    <s v="Regular"/>
    <n v="202504031139"/>
    <x v="31"/>
    <x v="1"/>
    <x v="0"/>
    <x v="227"/>
    <x v="0"/>
    <x v="1"/>
    <x v="2"/>
    <x v="0"/>
    <s v="5 minutes"/>
    <m/>
    <m/>
    <m/>
    <n v="1"/>
    <m/>
    <d v="2025-04-03T00:00:00"/>
    <d v="2025-04-03T00:00:00"/>
    <d v="2025-04-03T00:00:00"/>
    <x v="0"/>
    <x v="18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Normal"/>
    <s v="Regular"/>
    <n v="202504171040"/>
    <x v="31"/>
    <x v="1"/>
    <x v="0"/>
    <x v="228"/>
    <x v="0"/>
    <x v="7"/>
    <x v="0"/>
    <x v="0"/>
    <s v="15 minutes"/>
    <n v="2"/>
    <m/>
    <m/>
    <m/>
    <n v="2"/>
    <d v="2025-04-17T00:00:00"/>
    <d v="2025-04-23T00:00:00"/>
    <d v="2025-04-23T00:00:00"/>
    <x v="0"/>
    <x v="10"/>
    <s v="None"/>
    <x v="0"/>
    <x v="0"/>
    <s v="No"/>
    <x v="1"/>
    <s v="No"/>
    <x v="0"/>
    <x v="0"/>
    <x v="0"/>
    <x v="0"/>
    <x v="0"/>
    <x v="1"/>
    <x v="0"/>
    <x v="0"/>
    <x v="0"/>
    <n v="0"/>
    <n v="2"/>
    <n v="0"/>
    <x v="0"/>
    <x v="0"/>
    <s v="OK"/>
    <s v=""/>
  </r>
  <r>
    <x v="0"/>
    <s v="Normal"/>
    <s v="Regular"/>
    <n v="202504071353"/>
    <x v="45"/>
    <x v="0"/>
    <x v="0"/>
    <x v="229"/>
    <x v="0"/>
    <x v="3"/>
    <x v="0"/>
    <x v="0"/>
    <s v="1 hour"/>
    <n v="2"/>
    <m/>
    <m/>
    <n v="1"/>
    <m/>
    <d v="2025-04-07T00:00:00"/>
    <d v="2025-04-09T00:00:00"/>
    <d v="2025-04-09T00:00:00"/>
    <x v="0"/>
    <x v="5"/>
    <s v="None"/>
    <x v="0"/>
    <x v="0"/>
    <s v="No"/>
    <x v="1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0"/>
    <s v="Normal"/>
    <s v="Regular"/>
    <n v="202503111123"/>
    <x v="46"/>
    <x v="0"/>
    <x v="0"/>
    <x v="230"/>
    <x v="0"/>
    <x v="5"/>
    <x v="0"/>
    <x v="0"/>
    <s v="20 minutes"/>
    <n v="2"/>
    <n v="2"/>
    <m/>
    <m/>
    <m/>
    <d v="2025-03-11T00:00:00"/>
    <d v="2025-03-18T00:00:00"/>
    <d v="2025-03-18T00:00:00"/>
    <x v="0"/>
    <x v="2"/>
    <s v="None"/>
    <x v="1"/>
    <x v="1"/>
    <s v="No"/>
    <x v="1"/>
    <s v="No"/>
    <x v="0"/>
    <x v="0"/>
    <x v="0"/>
    <x v="0"/>
    <x v="0"/>
    <x v="0"/>
    <x v="0"/>
    <x v="0"/>
    <x v="1"/>
    <n v="0"/>
    <n v="23"/>
    <n v="0"/>
    <x v="0"/>
    <x v="0"/>
    <s v="OK"/>
    <s v=""/>
  </r>
  <r>
    <x v="0"/>
    <s v="Normal"/>
    <s v="Regular"/>
    <n v="202504301438"/>
    <x v="45"/>
    <x v="0"/>
    <x v="0"/>
    <x v="231"/>
    <x v="0"/>
    <x v="1"/>
    <x v="2"/>
    <x v="0"/>
    <s v="0 hours"/>
    <n v="2"/>
    <m/>
    <m/>
    <m/>
    <m/>
    <d v="2025-04-30T00:00:00"/>
    <d v="2025-04-30T00:00:00"/>
    <d v="2025-04-30T00:00:00"/>
    <x v="0"/>
    <x v="14"/>
    <s v="None"/>
    <x v="0"/>
    <x v="0"/>
    <s v="No"/>
    <x v="1"/>
    <s v="Yes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3270853"/>
    <x v="13"/>
    <x v="2"/>
    <x v="0"/>
    <x v="232"/>
    <x v="0"/>
    <x v="1"/>
    <x v="0"/>
    <x v="0"/>
    <s v="2 hours"/>
    <n v="2"/>
    <m/>
    <m/>
    <m/>
    <m/>
    <d v="2025-03-27T00:00:00"/>
    <d v="2025-04-01T00:00:00"/>
    <d v="2025-04-01T00:00:00"/>
    <x v="0"/>
    <x v="15"/>
    <s v="None"/>
    <x v="1"/>
    <x v="1"/>
    <s v="No"/>
    <x v="1"/>
    <s v="No"/>
    <x v="1"/>
    <x v="0"/>
    <x v="0"/>
    <x v="0"/>
    <x v="0"/>
    <x v="0"/>
    <x v="0"/>
    <x v="1"/>
    <x v="1"/>
    <n v="0"/>
    <n v="1"/>
    <n v="0"/>
    <x v="0"/>
    <x v="0"/>
    <s v="OK"/>
    <s v=""/>
  </r>
  <r>
    <x v="0"/>
    <s v="Normal"/>
    <s v="Regular"/>
    <n v="202504011051"/>
    <x v="39"/>
    <x v="2"/>
    <x v="0"/>
    <x v="233"/>
    <x v="0"/>
    <x v="1"/>
    <x v="2"/>
    <x v="0"/>
    <s v="5 minutes"/>
    <m/>
    <m/>
    <m/>
    <n v="1"/>
    <m/>
    <d v="2025-04-01T00:00:00"/>
    <d v="2025-04-01T00:00:00"/>
    <d v="2025-04-01T00:00:00"/>
    <x v="0"/>
    <x v="8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101444"/>
    <x v="47"/>
    <x v="0"/>
    <x v="0"/>
    <x v="234"/>
    <x v="0"/>
    <x v="1"/>
    <x v="0"/>
    <x v="0"/>
    <s v="5 minutes"/>
    <n v="2"/>
    <m/>
    <m/>
    <m/>
    <m/>
    <d v="2025-04-10T00:00:00"/>
    <d v="2025-04-11T00:00:00"/>
    <d v="2025-04-11T00:00:00"/>
    <x v="0"/>
    <x v="4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231443"/>
    <x v="6"/>
    <x v="1"/>
    <x v="0"/>
    <x v="235"/>
    <x v="0"/>
    <x v="3"/>
    <x v="0"/>
    <x v="0"/>
    <s v="1 hour"/>
    <n v="2"/>
    <m/>
    <m/>
    <m/>
    <m/>
    <d v="2025-04-23T00:00:00"/>
    <d v="2025-04-23T00:00:00"/>
    <d v="2025-04-24T00:00:00"/>
    <x v="0"/>
    <x v="10"/>
    <s v="None"/>
    <x v="1"/>
    <x v="1"/>
    <s v="No"/>
    <x v="0"/>
    <s v="No"/>
    <x v="0"/>
    <x v="0"/>
    <x v="0"/>
    <x v="0"/>
    <x v="0"/>
    <x v="0"/>
    <x v="0"/>
    <x v="0"/>
    <x v="2"/>
    <n v="1"/>
    <n v="1"/>
    <n v="0"/>
    <x v="0"/>
    <x v="0"/>
    <s v="OK"/>
    <s v=""/>
  </r>
  <r>
    <x v="1"/>
    <s v="High"/>
    <s v="Regular"/>
    <n v="202504071547"/>
    <x v="6"/>
    <x v="1"/>
    <x v="0"/>
    <x v="236"/>
    <x v="0"/>
    <x v="1"/>
    <x v="0"/>
    <x v="0"/>
    <s v="20 minutes"/>
    <n v="4"/>
    <m/>
    <m/>
    <m/>
    <m/>
    <d v="2025-04-07T00:00:00"/>
    <d v="2025-04-07T00:00:00"/>
    <d v="2025-04-07T00:00:00"/>
    <x v="0"/>
    <x v="19"/>
    <s v="None"/>
    <x v="0"/>
    <x v="0"/>
    <s v="No"/>
    <x v="0"/>
    <s v="No"/>
    <x v="0"/>
    <x v="0"/>
    <x v="0"/>
    <x v="0"/>
    <x v="0"/>
    <x v="1"/>
    <x v="0"/>
    <x v="0"/>
    <x v="0"/>
    <n v="0"/>
    <n v="1"/>
    <n v="0"/>
    <x v="0"/>
    <x v="0"/>
    <s v="OK"/>
    <s v=""/>
  </r>
  <r>
    <x v="0"/>
    <s v="High"/>
    <s v="Regular"/>
    <n v="202504031147"/>
    <x v="9"/>
    <x v="3"/>
    <x v="0"/>
    <x v="237"/>
    <x v="0"/>
    <x v="0"/>
    <x v="0"/>
    <x v="0"/>
    <s v="15 minutes"/>
    <n v="2"/>
    <m/>
    <m/>
    <n v="3"/>
    <m/>
    <d v="2025-04-03T00:00:00"/>
    <d v="2025-04-03T00:00:00"/>
    <d v="2025-04-03T00:00:00"/>
    <x v="0"/>
    <x v="11"/>
    <s v="None"/>
    <x v="1"/>
    <x v="1"/>
    <s v="No"/>
    <x v="0"/>
    <s v="No"/>
    <x v="0"/>
    <x v="0"/>
    <x v="0"/>
    <x v="1"/>
    <x v="0"/>
    <x v="0"/>
    <x v="0"/>
    <x v="0"/>
    <x v="1"/>
    <n v="0"/>
    <n v="1"/>
    <n v="0"/>
    <x v="0"/>
    <x v="0"/>
    <s v="OK"/>
    <s v=""/>
  </r>
  <r>
    <x v="1"/>
    <s v="Normal"/>
    <s v="Regular"/>
    <n v="202504220326"/>
    <x v="10"/>
    <x v="1"/>
    <x v="0"/>
    <x v="238"/>
    <x v="0"/>
    <x v="1"/>
    <x v="0"/>
    <x v="0"/>
    <s v="15 minutes"/>
    <n v="2"/>
    <m/>
    <m/>
    <m/>
    <m/>
    <d v="2025-04-22T00:00:00"/>
    <d v="2025-04-22T00:00:00"/>
    <d v="2025-04-22T00:00:00"/>
    <x v="0"/>
    <x v="2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301011"/>
    <x v="15"/>
    <x v="1"/>
    <x v="0"/>
    <x v="239"/>
    <x v="0"/>
    <x v="1"/>
    <x v="0"/>
    <x v="0"/>
    <s v="2 hours"/>
    <n v="3"/>
    <m/>
    <m/>
    <m/>
    <m/>
    <d v="2025-04-30T00:00:00"/>
    <d v="2025-04-30T00:00:00"/>
    <d v="2025-04-30T00:00:00"/>
    <x v="0"/>
    <x v="14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240932"/>
    <x v="12"/>
    <x v="1"/>
    <x v="1"/>
    <x v="240"/>
    <x v="0"/>
    <x v="0"/>
    <x v="0"/>
    <x v="0"/>
    <s v="1 hour"/>
    <n v="8"/>
    <m/>
    <m/>
    <m/>
    <m/>
    <d v="2025-04-24T00:00:00"/>
    <d v="2025-04-24T00:00:00"/>
    <d v="2025-04-24T00:00:00"/>
    <x v="0"/>
    <x v="10"/>
    <s v="None"/>
    <x v="1"/>
    <x v="1"/>
    <s v="No"/>
    <x v="0"/>
    <s v="No"/>
    <x v="1"/>
    <x v="0"/>
    <x v="0"/>
    <x v="0"/>
    <x v="0"/>
    <x v="0"/>
    <x v="0"/>
    <x v="0"/>
    <x v="1"/>
    <n v="0"/>
    <n v="1"/>
    <n v="0"/>
    <x v="0"/>
    <x v="0"/>
    <s v="OK"/>
    <s v=""/>
  </r>
  <r>
    <x v="0"/>
    <s v="High"/>
    <s v="Regular"/>
    <n v="202504241057"/>
    <x v="42"/>
    <x v="3"/>
    <x v="0"/>
    <x v="241"/>
    <x v="0"/>
    <x v="3"/>
    <x v="0"/>
    <x v="0"/>
    <s v="30 minutes"/>
    <n v="2"/>
    <m/>
    <m/>
    <m/>
    <m/>
    <d v="2025-04-24T00:00:00"/>
    <d v="2025-04-24T00:00:00"/>
    <d v="2025-04-24T00:00:00"/>
    <x v="0"/>
    <x v="1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Normal"/>
    <s v="Regular"/>
    <n v="202503211335"/>
    <x v="22"/>
    <x v="1"/>
    <x v="0"/>
    <x v="242"/>
    <x v="1"/>
    <x v="4"/>
    <x v="3"/>
    <x v="0"/>
    <s v="1.5 hours"/>
    <n v="2"/>
    <n v="2"/>
    <m/>
    <m/>
    <m/>
    <d v="2025-03-21T00:00:00"/>
    <d v="2025-03-31T00:00:00"/>
    <d v="2025-03-31T00:00:00"/>
    <x v="7"/>
    <x v="8"/>
    <d v="2025-03-31T00:00:00"/>
    <x v="1"/>
    <x v="1"/>
    <s v="No"/>
    <x v="1"/>
    <s v="No"/>
    <x v="0"/>
    <x v="0"/>
    <x v="0"/>
    <x v="0"/>
    <x v="0"/>
    <x v="1"/>
    <x v="0"/>
    <x v="1"/>
    <x v="2"/>
    <n v="0"/>
    <n v="1"/>
    <n v="7"/>
    <x v="1"/>
    <x v="0"/>
    <s v="OK"/>
    <s v=""/>
  </r>
  <r>
    <x v="0"/>
    <s v="High"/>
    <s v="Regular"/>
    <n v="202504091045"/>
    <x v="21"/>
    <x v="3"/>
    <x v="0"/>
    <x v="243"/>
    <x v="0"/>
    <x v="2"/>
    <x v="0"/>
    <x v="0"/>
    <s v="15 minutes"/>
    <n v="1"/>
    <m/>
    <n v="2"/>
    <m/>
    <m/>
    <d v="2025-04-09T00:00:00"/>
    <d v="2025-04-09T00:00:00"/>
    <d v="2025-04-09T00:00:00"/>
    <x v="0"/>
    <x v="3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071320"/>
    <x v="10"/>
    <x v="1"/>
    <x v="2"/>
    <x v="244"/>
    <x v="0"/>
    <x v="3"/>
    <x v="0"/>
    <x v="0"/>
    <s v="0.5 days"/>
    <n v="10"/>
    <m/>
    <m/>
    <m/>
    <m/>
    <d v="2025-04-07T00:00:00"/>
    <d v="2025-04-07T00:00:00"/>
    <d v="2025-04-08T00:00:00"/>
    <x v="0"/>
    <x v="4"/>
    <s v="None"/>
    <x v="1"/>
    <x v="1"/>
    <s v="No"/>
    <x v="1"/>
    <s v="No"/>
    <x v="1"/>
    <x v="1"/>
    <x v="1"/>
    <x v="0"/>
    <x v="0"/>
    <x v="1"/>
    <x v="0"/>
    <x v="0"/>
    <x v="2"/>
    <n v="1"/>
    <n v="3"/>
    <n v="0"/>
    <x v="0"/>
    <x v="0"/>
    <s v="OK"/>
    <s v=""/>
  </r>
  <r>
    <x v="0"/>
    <s v="High"/>
    <s v="Regular"/>
    <n v="202504141110"/>
    <x v="17"/>
    <x v="3"/>
    <x v="0"/>
    <x v="245"/>
    <x v="0"/>
    <x v="3"/>
    <x v="0"/>
    <x v="0"/>
    <s v="30 minutes"/>
    <n v="2"/>
    <m/>
    <m/>
    <n v="1"/>
    <m/>
    <d v="2025-04-14T00:00:00"/>
    <d v="2025-04-14T00:00:00"/>
    <d v="2025-04-14T00:00:00"/>
    <x v="0"/>
    <x v="16"/>
    <s v="None"/>
    <x v="0"/>
    <x v="0"/>
    <s v="No"/>
    <x v="0"/>
    <s v="No"/>
    <x v="0"/>
    <x v="0"/>
    <x v="1"/>
    <x v="0"/>
    <x v="0"/>
    <x v="1"/>
    <x v="0"/>
    <x v="0"/>
    <x v="0"/>
    <n v="0"/>
    <n v="0"/>
    <n v="0"/>
    <x v="0"/>
    <x v="0"/>
    <s v="OK"/>
    <s v=""/>
  </r>
  <r>
    <x v="1"/>
    <s v="High"/>
    <s v="Regular"/>
    <n v="202504231309"/>
    <x v="44"/>
    <x v="4"/>
    <x v="0"/>
    <x v="246"/>
    <x v="0"/>
    <x v="1"/>
    <x v="0"/>
    <x v="0"/>
    <s v="10 minutes"/>
    <n v="2"/>
    <m/>
    <m/>
    <m/>
    <m/>
    <d v="2025-04-23T00:00:00"/>
    <d v="2025-04-24T00:00:00"/>
    <d v="2025-04-24T00:00:00"/>
    <x v="0"/>
    <x v="10"/>
    <s v="None"/>
    <x v="1"/>
    <x v="1"/>
    <s v="No"/>
    <x v="1"/>
    <s v="No"/>
    <x v="0"/>
    <x v="0"/>
    <x v="0"/>
    <x v="0"/>
    <x v="0"/>
    <x v="0"/>
    <x v="1"/>
    <x v="0"/>
    <x v="1"/>
    <n v="0"/>
    <n v="1"/>
    <n v="0"/>
    <x v="0"/>
    <x v="0"/>
    <s v="OK"/>
    <n v="1"/>
  </r>
  <r>
    <x v="0"/>
    <s v="High"/>
    <s v="Regular"/>
    <n v="202504081348"/>
    <x v="40"/>
    <x v="3"/>
    <x v="0"/>
    <x v="247"/>
    <x v="0"/>
    <x v="2"/>
    <x v="0"/>
    <x v="0"/>
    <s v="15 minutes"/>
    <n v="2"/>
    <m/>
    <m/>
    <m/>
    <n v="1"/>
    <d v="2025-04-08T00:00:00"/>
    <d v="2025-04-08T00:00:00"/>
    <d v="2025-04-08T00:00:00"/>
    <x v="0"/>
    <x v="19"/>
    <s v="None"/>
    <x v="0"/>
    <x v="0"/>
    <s v="No"/>
    <x v="1"/>
    <s v="No"/>
    <x v="0"/>
    <x v="0"/>
    <x v="1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090923"/>
    <x v="25"/>
    <x v="1"/>
    <x v="4"/>
    <x v="248"/>
    <x v="0"/>
    <x v="0"/>
    <x v="0"/>
    <x v="0"/>
    <s v="40 minutes"/>
    <n v="4"/>
    <m/>
    <m/>
    <n v="1"/>
    <m/>
    <d v="2025-04-09T00:00:00"/>
    <d v="2025-04-09T00:00:00"/>
    <d v="2025-04-09T00:00:00"/>
    <x v="0"/>
    <x v="3"/>
    <s v="None"/>
    <x v="1"/>
    <x v="1"/>
    <s v="No"/>
    <x v="0"/>
    <s v="No"/>
    <x v="0"/>
    <x v="0"/>
    <x v="0"/>
    <x v="0"/>
    <x v="0"/>
    <x v="1"/>
    <x v="0"/>
    <x v="0"/>
    <x v="1"/>
    <n v="0"/>
    <n v="0"/>
    <n v="0"/>
    <x v="0"/>
    <x v="0"/>
    <s v="OK"/>
    <s v=""/>
  </r>
  <r>
    <x v="1"/>
    <s v="High"/>
    <s v="Regular"/>
    <n v="202504021332"/>
    <x v="25"/>
    <x v="1"/>
    <x v="0"/>
    <x v="249"/>
    <x v="0"/>
    <x v="2"/>
    <x v="3"/>
    <x v="0"/>
    <s v="3.5 hours"/>
    <n v="2"/>
    <n v="2"/>
    <m/>
    <m/>
    <m/>
    <d v="2025-04-02T00:00:00"/>
    <d v="2025-04-02T00:00:00"/>
    <d v="2025-04-03T00:00:00"/>
    <x v="0"/>
    <x v="11"/>
    <s v="None"/>
    <x v="1"/>
    <x v="1"/>
    <s v="No"/>
    <x v="0"/>
    <s v="No"/>
    <x v="0"/>
    <x v="0"/>
    <x v="1"/>
    <x v="0"/>
    <x v="0"/>
    <x v="1"/>
    <x v="0"/>
    <x v="0"/>
    <x v="1"/>
    <n v="1"/>
    <n v="1"/>
    <n v="0"/>
    <x v="0"/>
    <x v="0"/>
    <s v="OK"/>
    <s v=""/>
  </r>
  <r>
    <x v="1"/>
    <s v="High"/>
    <s v="Regular"/>
    <n v="202504031603"/>
    <x v="16"/>
    <x v="1"/>
    <x v="0"/>
    <x v="250"/>
    <x v="0"/>
    <x v="1"/>
    <x v="0"/>
    <x v="0"/>
    <s v="5 minutes"/>
    <n v="2"/>
    <m/>
    <m/>
    <m/>
    <m/>
    <d v="2025-04-03T00:00:00"/>
    <d v="2025-04-04T00:00:00"/>
    <d v="2025-04-04T00:00:00"/>
    <x v="0"/>
    <x v="11"/>
    <s v="None"/>
    <x v="0"/>
    <x v="0"/>
    <s v="No"/>
    <x v="0"/>
    <s v="No"/>
    <x v="1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3280950"/>
    <x v="33"/>
    <x v="1"/>
    <x v="3"/>
    <x v="251"/>
    <x v="0"/>
    <x v="0"/>
    <x v="3"/>
    <x v="0"/>
    <s v="40 minutes"/>
    <n v="8"/>
    <m/>
    <m/>
    <m/>
    <m/>
    <d v="2025-03-28T00:00:00"/>
    <d v="2025-03-31T00:00:00"/>
    <d v="2025-03-31T00:00:00"/>
    <x v="0"/>
    <x v="8"/>
    <s v="None"/>
    <x v="1"/>
    <x v="1"/>
    <s v="No"/>
    <x v="0"/>
    <s v="No"/>
    <x v="1"/>
    <x v="1"/>
    <x v="0"/>
    <x v="0"/>
    <x v="0"/>
    <x v="1"/>
    <x v="0"/>
    <x v="0"/>
    <x v="1"/>
    <n v="0"/>
    <n v="1"/>
    <n v="0"/>
    <x v="0"/>
    <x v="0"/>
    <s v="OK"/>
    <s v=""/>
  </r>
  <r>
    <x v="0"/>
    <s v="High"/>
    <s v="Regular"/>
    <n v="202504081022"/>
    <x v="34"/>
    <x v="3"/>
    <x v="0"/>
    <x v="252"/>
    <x v="0"/>
    <x v="2"/>
    <x v="0"/>
    <x v="0"/>
    <s v="1.5 hours"/>
    <n v="2"/>
    <n v="2"/>
    <m/>
    <m/>
    <m/>
    <d v="2025-04-08T00:00:00"/>
    <d v="2025-04-08T00:00:00"/>
    <d v="2025-04-08T00:00:00"/>
    <x v="0"/>
    <x v="3"/>
    <s v="None"/>
    <x v="0"/>
    <x v="0"/>
    <s v="No"/>
    <x v="0"/>
    <s v="No"/>
    <x v="0"/>
    <x v="0"/>
    <x v="0"/>
    <x v="0"/>
    <x v="0"/>
    <x v="1"/>
    <x v="0"/>
    <x v="0"/>
    <x v="0"/>
    <n v="0"/>
    <n v="1"/>
    <n v="0"/>
    <x v="0"/>
    <x v="0"/>
    <s v="OK"/>
    <s v=""/>
  </r>
  <r>
    <x v="0"/>
    <s v="High"/>
    <s v="Regular"/>
    <n v="202504140925"/>
    <x v="36"/>
    <x v="3"/>
    <x v="0"/>
    <x v="253"/>
    <x v="0"/>
    <x v="1"/>
    <x v="2"/>
    <x v="0"/>
    <s v="5 minutes"/>
    <m/>
    <m/>
    <m/>
    <m/>
    <n v="1"/>
    <d v="2025-04-14T00:00:00"/>
    <d v="2025-04-14T00:00:00"/>
    <d v="2025-04-14T00:00:00"/>
    <x v="0"/>
    <x v="16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081321"/>
    <x v="17"/>
    <x v="3"/>
    <x v="0"/>
    <x v="254"/>
    <x v="0"/>
    <x v="0"/>
    <x v="0"/>
    <x v="0"/>
    <s v="10 minutes"/>
    <n v="2"/>
    <m/>
    <m/>
    <m/>
    <n v="4"/>
    <d v="2025-04-08T00:00:00"/>
    <d v="2025-04-10T00:00:00"/>
    <d v="2025-04-10T00:00:00"/>
    <x v="0"/>
    <x v="4"/>
    <s v="None"/>
    <x v="0"/>
    <x v="0"/>
    <s v="No"/>
    <x v="1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0"/>
    <s v="Normal"/>
    <s v="Regular"/>
    <n v="202504161128"/>
    <x v="20"/>
    <x v="2"/>
    <x v="0"/>
    <x v="255"/>
    <x v="0"/>
    <x v="2"/>
    <x v="0"/>
    <x v="0"/>
    <s v="1 hour"/>
    <n v="2"/>
    <n v="2"/>
    <m/>
    <m/>
    <m/>
    <d v="2025-04-16T00:00:00"/>
    <d v="2025-04-17T00:00:00"/>
    <d v="2025-04-17T00:00:00"/>
    <x v="0"/>
    <x v="10"/>
    <s v="None"/>
    <x v="0"/>
    <x v="0"/>
    <s v="No"/>
    <x v="1"/>
    <s v="No"/>
    <x v="1"/>
    <x v="1"/>
    <x v="0"/>
    <x v="0"/>
    <x v="0"/>
    <x v="1"/>
    <x v="0"/>
    <x v="0"/>
    <x v="0"/>
    <n v="0"/>
    <n v="4"/>
    <n v="0"/>
    <x v="0"/>
    <x v="0"/>
    <s v="OK"/>
    <s v=""/>
  </r>
  <r>
    <x v="0"/>
    <s v="Normal"/>
    <s v="Regular"/>
    <n v="202504171512"/>
    <x v="38"/>
    <x v="3"/>
    <x v="0"/>
    <x v="256"/>
    <x v="0"/>
    <x v="5"/>
    <x v="0"/>
    <x v="1"/>
    <s v="0.5 days"/>
    <n v="36"/>
    <n v="2"/>
    <m/>
    <m/>
    <m/>
    <d v="2025-04-17T00:00:00"/>
    <d v="2025-04-24T00:00:00"/>
    <d v="2025-04-24T00:00:00"/>
    <x v="0"/>
    <x v="10"/>
    <s v="None"/>
    <x v="2"/>
    <x v="1"/>
    <s v="No"/>
    <x v="1"/>
    <s v="No"/>
    <x v="0"/>
    <x v="0"/>
    <x v="0"/>
    <x v="0"/>
    <x v="0"/>
    <x v="1"/>
    <x v="0"/>
    <x v="0"/>
    <x v="1"/>
    <n v="0"/>
    <n v="1"/>
    <n v="0"/>
    <x v="0"/>
    <x v="0"/>
    <s v="OK"/>
    <s v=""/>
  </r>
  <r>
    <x v="0"/>
    <s v="Normal"/>
    <s v="Regular"/>
    <n v="202504241455"/>
    <x v="17"/>
    <x v="3"/>
    <x v="0"/>
    <x v="257"/>
    <x v="0"/>
    <x v="3"/>
    <x v="0"/>
    <x v="0"/>
    <s v="1.5 hours"/>
    <n v="2"/>
    <m/>
    <m/>
    <m/>
    <n v="4"/>
    <d v="2025-04-24T00:00:00"/>
    <d v="2025-04-25T00:00:00"/>
    <d v="2025-04-25T00:00:00"/>
    <x v="0"/>
    <x v="0"/>
    <s v="None"/>
    <x v="0"/>
    <x v="0"/>
    <s v="No"/>
    <x v="1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0"/>
    <s v="Normal"/>
    <s v="Regular"/>
    <n v="202503310931"/>
    <x v="27"/>
    <x v="2"/>
    <x v="0"/>
    <x v="258"/>
    <x v="0"/>
    <x v="4"/>
    <x v="0"/>
    <x v="1"/>
    <s v="3.5 hours"/>
    <n v="10"/>
    <n v="4"/>
    <m/>
    <m/>
    <m/>
    <d v="2025-03-31T00:00:00"/>
    <d v="2025-04-02T00:00:00"/>
    <d v="2025-04-02T00:00:00"/>
    <x v="0"/>
    <x v="19"/>
    <s v="None"/>
    <x v="1"/>
    <x v="1"/>
    <s v="No"/>
    <x v="1"/>
    <s v="No"/>
    <x v="1"/>
    <x v="0"/>
    <x v="0"/>
    <x v="0"/>
    <x v="0"/>
    <x v="0"/>
    <x v="0"/>
    <x v="0"/>
    <x v="1"/>
    <n v="0"/>
    <n v="4"/>
    <n v="0"/>
    <x v="0"/>
    <x v="0"/>
    <s v="OK"/>
    <s v=""/>
  </r>
  <r>
    <x v="2"/>
    <s v="Normal"/>
    <s v="Regular"/>
    <n v="202504021542"/>
    <x v="27"/>
    <x v="2"/>
    <x v="0"/>
    <x v="259"/>
    <x v="0"/>
    <x v="0"/>
    <x v="0"/>
    <x v="1"/>
    <s v="0.5 days"/>
    <n v="4"/>
    <n v="2"/>
    <m/>
    <m/>
    <m/>
    <d v="2025-04-02T00:00:00"/>
    <d v="2025-04-04T00:00:00"/>
    <d v="2025-04-08T00:00:00"/>
    <x v="0"/>
    <x v="4"/>
    <s v="None"/>
    <x v="1"/>
    <x v="1"/>
    <s v="No"/>
    <x v="1"/>
    <s v="No"/>
    <x v="1"/>
    <x v="0"/>
    <x v="0"/>
    <x v="1"/>
    <x v="0"/>
    <x v="1"/>
    <x v="0"/>
    <x v="0"/>
    <x v="1"/>
    <n v="2"/>
    <n v="3"/>
    <n v="0"/>
    <x v="0"/>
    <x v="0"/>
    <s v="OK"/>
    <s v=""/>
  </r>
  <r>
    <x v="2"/>
    <s v="Normal"/>
    <s v="Regular"/>
    <n v="202503110851"/>
    <x v="27"/>
    <x v="2"/>
    <x v="5"/>
    <x v="260"/>
    <x v="0"/>
    <x v="4"/>
    <x v="0"/>
    <x v="6"/>
    <s v="4.5 hours"/>
    <n v="14"/>
    <n v="4"/>
    <m/>
    <m/>
    <m/>
    <d v="2025-03-11T00:00:00"/>
    <d v="2025-03-14T00:00:00"/>
    <d v="2025-03-14T00:00:00"/>
    <x v="0"/>
    <x v="11"/>
    <s v="None"/>
    <x v="5"/>
    <x v="2"/>
    <s v="No"/>
    <x v="1"/>
    <s v="No"/>
    <x v="0"/>
    <x v="0"/>
    <x v="0"/>
    <x v="0"/>
    <x v="0"/>
    <x v="1"/>
    <x v="0"/>
    <x v="1"/>
    <x v="1"/>
    <n v="0"/>
    <n v="15"/>
    <n v="0"/>
    <x v="0"/>
    <x v="0"/>
    <s v="OK"/>
    <s v=""/>
  </r>
  <r>
    <x v="2"/>
    <s v="Normal"/>
    <s v="Regular"/>
    <n v="202503051312"/>
    <x v="27"/>
    <x v="2"/>
    <x v="0"/>
    <x v="261"/>
    <x v="0"/>
    <x v="5"/>
    <x v="0"/>
    <x v="3"/>
    <s v="4 days"/>
    <n v="28"/>
    <n v="4"/>
    <m/>
    <m/>
    <m/>
    <d v="2025-03-05T00:00:00"/>
    <d v="2025-03-13T00:00:00"/>
    <d v="2025-03-25T00:00:00"/>
    <x v="0"/>
    <x v="13"/>
    <s v="None"/>
    <x v="1"/>
    <x v="1"/>
    <s v="No"/>
    <x v="1"/>
    <s v="No"/>
    <x v="1"/>
    <x v="1"/>
    <x v="0"/>
    <x v="1"/>
    <x v="1"/>
    <x v="1"/>
    <x v="0"/>
    <x v="1"/>
    <x v="1"/>
    <n v="8"/>
    <n v="23"/>
    <n v="0"/>
    <x v="0"/>
    <x v="0"/>
    <s v="OK"/>
    <s v=""/>
  </r>
  <r>
    <x v="0"/>
    <s v="High"/>
    <s v="Regular"/>
    <n v="202504301150"/>
    <x v="42"/>
    <x v="3"/>
    <x v="0"/>
    <x v="262"/>
    <x v="0"/>
    <x v="3"/>
    <x v="0"/>
    <x v="0"/>
    <s v="1 hour"/>
    <n v="2"/>
    <m/>
    <m/>
    <m/>
    <m/>
    <d v="2025-04-30T00:00:00"/>
    <d v="2025-04-30T00:00:00"/>
    <d v="2025-04-30T00:00:00"/>
    <x v="0"/>
    <x v="14"/>
    <s v="None"/>
    <x v="5"/>
    <x v="1"/>
    <s v="No"/>
    <x v="0"/>
    <s v="No"/>
    <x v="0"/>
    <x v="0"/>
    <x v="1"/>
    <x v="0"/>
    <x v="0"/>
    <x v="0"/>
    <x v="0"/>
    <x v="0"/>
    <x v="1"/>
    <n v="0"/>
    <n v="0"/>
    <n v="0"/>
    <x v="0"/>
    <x v="0"/>
    <s v="OK"/>
    <s v=""/>
  </r>
  <r>
    <x v="1"/>
    <s v="High"/>
    <s v="Regular"/>
    <n v="202504091327"/>
    <x v="12"/>
    <x v="1"/>
    <x v="0"/>
    <x v="263"/>
    <x v="0"/>
    <x v="1"/>
    <x v="0"/>
    <x v="0"/>
    <s v="5 minutes"/>
    <n v="1"/>
    <m/>
    <m/>
    <m/>
    <m/>
    <d v="2025-04-09T00:00:00"/>
    <d v="2025-04-10T00:00:00"/>
    <d v="2025-04-10T00:00:00"/>
    <x v="0"/>
    <x v="4"/>
    <s v="None"/>
    <x v="0"/>
    <x v="0"/>
    <s v="No"/>
    <x v="0"/>
    <s v="No"/>
    <x v="0"/>
    <x v="0"/>
    <x v="0"/>
    <x v="0"/>
    <x v="0"/>
    <x v="0"/>
    <x v="0"/>
    <x v="0"/>
    <x v="0"/>
    <n v="0"/>
    <n v="1"/>
    <n v="0"/>
    <x v="0"/>
    <x v="0"/>
    <s v="OK"/>
    <s v=""/>
  </r>
  <r>
    <x v="0"/>
    <s v="Normal"/>
    <s v="Regular"/>
    <n v="202504011043"/>
    <x v="18"/>
    <x v="5"/>
    <x v="0"/>
    <x v="264"/>
    <x v="0"/>
    <x v="2"/>
    <x v="0"/>
    <x v="1"/>
    <s v="5 hours"/>
    <n v="2"/>
    <n v="10"/>
    <m/>
    <m/>
    <m/>
    <d v="2025-04-01T00:00:00"/>
    <d v="2025-04-14T00:00:00"/>
    <d v="2025-04-15T00:00:00"/>
    <x v="0"/>
    <x v="6"/>
    <s v="None"/>
    <x v="1"/>
    <x v="1"/>
    <s v="No"/>
    <x v="1"/>
    <s v="No"/>
    <x v="1"/>
    <x v="0"/>
    <x v="0"/>
    <x v="0"/>
    <x v="1"/>
    <x v="0"/>
    <x v="0"/>
    <x v="1"/>
    <x v="1"/>
    <n v="1"/>
    <n v="0"/>
    <n v="0"/>
    <x v="0"/>
    <x v="0"/>
    <s v="OK"/>
    <s v=""/>
  </r>
  <r>
    <x v="0"/>
    <s v="Normal"/>
    <s v="Regular"/>
    <n v="202504011343"/>
    <x v="18"/>
    <x v="5"/>
    <x v="0"/>
    <x v="265"/>
    <x v="0"/>
    <x v="0"/>
    <x v="0"/>
    <x v="1"/>
    <s v="0.5 days"/>
    <n v="2"/>
    <n v="10"/>
    <m/>
    <m/>
    <m/>
    <d v="2025-04-01T00:00:00"/>
    <d v="2025-04-08T00:00:00"/>
    <d v="2025-04-10T00:00:00"/>
    <x v="0"/>
    <x v="2"/>
    <s v="None"/>
    <x v="1"/>
    <x v="1"/>
    <s v="No"/>
    <x v="1"/>
    <s v="No"/>
    <x v="1"/>
    <x v="0"/>
    <x v="0"/>
    <x v="0"/>
    <x v="0"/>
    <x v="0"/>
    <x v="0"/>
    <x v="1"/>
    <x v="2"/>
    <n v="2"/>
    <n v="6"/>
    <n v="0"/>
    <x v="0"/>
    <x v="0"/>
    <s v="OK"/>
    <s v=""/>
  </r>
  <r>
    <x v="0"/>
    <s v="Normal"/>
    <s v="Regular"/>
    <n v="202504011348"/>
    <x v="18"/>
    <x v="5"/>
    <x v="0"/>
    <x v="266"/>
    <x v="0"/>
    <x v="4"/>
    <x v="0"/>
    <x v="1"/>
    <s v="3 hours"/>
    <n v="2"/>
    <n v="10"/>
    <m/>
    <m/>
    <m/>
    <d v="2025-04-01T00:00:00"/>
    <d v="2025-04-14T00:00:00"/>
    <d v="2025-04-14T00:00:00"/>
    <x v="0"/>
    <x v="6"/>
    <s v="None"/>
    <x v="0"/>
    <x v="0"/>
    <s v="No"/>
    <x v="1"/>
    <s v="No"/>
    <x v="1"/>
    <x v="0"/>
    <x v="0"/>
    <x v="0"/>
    <x v="0"/>
    <x v="0"/>
    <x v="0"/>
    <x v="0"/>
    <x v="1"/>
    <n v="0"/>
    <n v="1"/>
    <n v="0"/>
    <x v="0"/>
    <x v="0"/>
    <s v="OK"/>
    <s v=""/>
  </r>
  <r>
    <x v="0"/>
    <s v="Normal"/>
    <s v="Regular"/>
    <n v="202504221148"/>
    <x v="18"/>
    <x v="5"/>
    <x v="0"/>
    <x v="267"/>
    <x v="0"/>
    <x v="3"/>
    <x v="0"/>
    <x v="6"/>
    <s v="0.5 days"/>
    <n v="4"/>
    <n v="10"/>
    <m/>
    <m/>
    <m/>
    <d v="2025-04-22T00:00:00"/>
    <d v="2025-04-22T00:00:00"/>
    <d v="2025-04-23T00:00:00"/>
    <x v="0"/>
    <x v="9"/>
    <s v="None"/>
    <x v="1"/>
    <x v="1"/>
    <s v="No"/>
    <x v="1"/>
    <s v="No"/>
    <x v="0"/>
    <x v="0"/>
    <x v="0"/>
    <x v="0"/>
    <x v="0"/>
    <x v="1"/>
    <x v="0"/>
    <x v="1"/>
    <x v="1"/>
    <n v="1"/>
    <n v="0"/>
    <n v="0"/>
    <x v="0"/>
    <x v="0"/>
    <s v="OK"/>
    <s v=""/>
  </r>
  <r>
    <x v="0"/>
    <s v="Normal"/>
    <s v="Regular"/>
    <n v="202503261324"/>
    <x v="18"/>
    <x v="5"/>
    <x v="0"/>
    <x v="268"/>
    <x v="0"/>
    <x v="2"/>
    <x v="0"/>
    <x v="0"/>
    <s v="2.5 hours"/>
    <n v="2"/>
    <n v="6"/>
    <m/>
    <m/>
    <m/>
    <d v="2025-03-26T00:00:00"/>
    <d v="2025-04-04T00:00:00"/>
    <d v="2025-04-04T00:00:00"/>
    <x v="0"/>
    <x v="11"/>
    <s v="None"/>
    <x v="1"/>
    <x v="1"/>
    <s v="No"/>
    <x v="1"/>
    <s v="No"/>
    <x v="1"/>
    <x v="0"/>
    <x v="0"/>
    <x v="0"/>
    <x v="0"/>
    <x v="0"/>
    <x v="0"/>
    <x v="1"/>
    <x v="1"/>
    <n v="0"/>
    <n v="0"/>
    <n v="0"/>
    <x v="0"/>
    <x v="0"/>
    <s v="OK"/>
    <s v=""/>
  </r>
  <r>
    <x v="0"/>
    <s v="Normal"/>
    <s v="Regular"/>
    <n v="202503261333"/>
    <x v="18"/>
    <x v="5"/>
    <x v="0"/>
    <x v="269"/>
    <x v="0"/>
    <x v="4"/>
    <x v="0"/>
    <x v="1"/>
    <s v="5 hours"/>
    <n v="2"/>
    <n v="10"/>
    <m/>
    <m/>
    <m/>
    <d v="2025-03-26T00:00:00"/>
    <d v="2025-04-07T00:00:00"/>
    <d v="2025-04-07T00:00:00"/>
    <x v="0"/>
    <x v="3"/>
    <s v="None"/>
    <x v="1"/>
    <x v="1"/>
    <s v="No"/>
    <x v="1"/>
    <s v="No"/>
    <x v="1"/>
    <x v="0"/>
    <x v="0"/>
    <x v="0"/>
    <x v="0"/>
    <x v="0"/>
    <x v="0"/>
    <x v="1"/>
    <x v="1"/>
    <n v="0"/>
    <n v="2"/>
    <n v="0"/>
    <x v="0"/>
    <x v="0"/>
    <s v="OK"/>
    <s v=""/>
  </r>
  <r>
    <x v="0"/>
    <s v="Normal"/>
    <s v="Regular"/>
    <n v="202503261446"/>
    <x v="18"/>
    <x v="5"/>
    <x v="0"/>
    <x v="270"/>
    <x v="0"/>
    <x v="2"/>
    <x v="0"/>
    <x v="1"/>
    <s v="5 hours"/>
    <n v="2"/>
    <n v="10"/>
    <m/>
    <m/>
    <m/>
    <d v="2025-03-26T00:00:00"/>
    <d v="2025-04-07T00:00:00"/>
    <d v="2025-04-08T00:00:00"/>
    <x v="0"/>
    <x v="3"/>
    <s v="None"/>
    <x v="1"/>
    <x v="1"/>
    <s v="No"/>
    <x v="1"/>
    <s v="No"/>
    <x v="1"/>
    <x v="0"/>
    <x v="0"/>
    <x v="0"/>
    <x v="0"/>
    <x v="0"/>
    <x v="0"/>
    <x v="0"/>
    <x v="1"/>
    <n v="1"/>
    <n v="1"/>
    <n v="0"/>
    <x v="0"/>
    <x v="0"/>
    <s v="OK"/>
    <s v=""/>
  </r>
  <r>
    <x v="0"/>
    <s v="Normal"/>
    <s v="Regular"/>
    <n v="202503271419"/>
    <x v="18"/>
    <x v="5"/>
    <x v="0"/>
    <x v="271"/>
    <x v="0"/>
    <x v="5"/>
    <x v="0"/>
    <x v="3"/>
    <s v="3 hours"/>
    <n v="2"/>
    <n v="10"/>
    <m/>
    <m/>
    <m/>
    <d v="2025-03-10T00:00:00"/>
    <d v="2025-03-25T00:00:00"/>
    <d v="2025-03-28T00:00:00"/>
    <x v="0"/>
    <x v="2"/>
    <s v="None"/>
    <x v="1"/>
    <x v="1"/>
    <s v="No"/>
    <x v="1"/>
    <s v="No"/>
    <x v="0"/>
    <x v="0"/>
    <x v="0"/>
    <x v="0"/>
    <x v="0"/>
    <x v="1"/>
    <x v="0"/>
    <x v="1"/>
    <x v="2"/>
    <n v="3"/>
    <n v="15"/>
    <n v="0"/>
    <x v="0"/>
    <x v="0"/>
    <s v="OK"/>
    <s v=""/>
  </r>
  <r>
    <x v="0"/>
    <s v="Normal"/>
    <s v="Regular"/>
    <n v="202504250931"/>
    <x v="18"/>
    <x v="5"/>
    <x v="0"/>
    <x v="272"/>
    <x v="0"/>
    <x v="4"/>
    <x v="0"/>
    <x v="1"/>
    <s v="1 hour"/>
    <n v="2"/>
    <m/>
    <m/>
    <m/>
    <m/>
    <d v="2025-04-25T00:00:00"/>
    <d v="2025-04-30T00:00:00"/>
    <d v="2025-04-30T00:00:00"/>
    <x v="0"/>
    <x v="14"/>
    <s v="None"/>
    <x v="0"/>
    <x v="0"/>
    <s v="No"/>
    <x v="1"/>
    <s v="No"/>
    <x v="1"/>
    <x v="1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3241047"/>
    <x v="35"/>
    <x v="3"/>
    <x v="0"/>
    <x v="273"/>
    <x v="0"/>
    <x v="5"/>
    <x v="0"/>
    <x v="1"/>
    <s v="0.5 days"/>
    <n v="2"/>
    <n v="2"/>
    <m/>
    <n v="31"/>
    <m/>
    <d v="2025-03-24T00:00:00"/>
    <d v="2025-03-27T00:00:00"/>
    <d v="2025-03-27T00:00:00"/>
    <x v="0"/>
    <x v="2"/>
    <s v="None"/>
    <x v="1"/>
    <x v="1"/>
    <s v="No"/>
    <x v="1"/>
    <s v="No"/>
    <x v="0"/>
    <x v="0"/>
    <x v="0"/>
    <x v="1"/>
    <x v="0"/>
    <x v="1"/>
    <x v="0"/>
    <x v="0"/>
    <x v="1"/>
    <n v="0"/>
    <n v="16"/>
    <n v="0"/>
    <x v="0"/>
    <x v="0"/>
    <s v="OK"/>
    <s v=""/>
  </r>
  <r>
    <x v="0"/>
    <s v="High"/>
    <s v="Regular"/>
    <n v="202504080833"/>
    <x v="35"/>
    <x v="3"/>
    <x v="0"/>
    <x v="273"/>
    <x v="0"/>
    <x v="1"/>
    <x v="0"/>
    <x v="0"/>
    <s v="5 minutes"/>
    <n v="2"/>
    <m/>
    <m/>
    <m/>
    <m/>
    <d v="2025-04-08T00:00:00"/>
    <d v="2025-04-08T00:00:00"/>
    <d v="2025-04-08T00:00:00"/>
    <x v="0"/>
    <x v="19"/>
    <s v="None"/>
    <x v="0"/>
    <x v="0"/>
    <s v="No"/>
    <x v="0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031311"/>
    <x v="27"/>
    <x v="2"/>
    <x v="0"/>
    <x v="274"/>
    <x v="0"/>
    <x v="1"/>
    <x v="2"/>
    <x v="2"/>
    <s v="3 minutes"/>
    <m/>
    <m/>
    <m/>
    <n v="2"/>
    <m/>
    <d v="2025-04-03T00:00:00"/>
    <d v="2025-04-04T00:00:00"/>
    <d v="2025-04-04T00:00:00"/>
    <x v="0"/>
    <x v="11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111352"/>
    <x v="17"/>
    <x v="3"/>
    <x v="0"/>
    <x v="275"/>
    <x v="0"/>
    <x v="1"/>
    <x v="0"/>
    <x v="0"/>
    <s v="3 minutes"/>
    <n v="2"/>
    <m/>
    <m/>
    <m/>
    <m/>
    <d v="2025-04-11T00:00:00"/>
    <d v="2025-04-24T00:00:00"/>
    <d v="2025-04-24T00:00:00"/>
    <x v="0"/>
    <x v="1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0"/>
    <s v="Normal"/>
    <s v="Regular"/>
    <n v="202504251000"/>
    <x v="45"/>
    <x v="0"/>
    <x v="0"/>
    <x v="276"/>
    <x v="0"/>
    <x v="3"/>
    <x v="0"/>
    <x v="0"/>
    <s v="30 minutes"/>
    <n v="2"/>
    <m/>
    <m/>
    <n v="1"/>
    <m/>
    <d v="2025-04-25T00:00:00"/>
    <d v="2025-04-28T00:00:00"/>
    <d v="2025-04-28T00:00:00"/>
    <x v="0"/>
    <x v="0"/>
    <s v="None"/>
    <x v="0"/>
    <x v="0"/>
    <s v="No"/>
    <x v="1"/>
    <s v="No"/>
    <x v="0"/>
    <x v="0"/>
    <x v="0"/>
    <x v="0"/>
    <x v="0"/>
    <x v="0"/>
    <x v="0"/>
    <x v="0"/>
    <x v="0"/>
    <n v="0"/>
    <n v="0"/>
    <n v="0"/>
    <x v="0"/>
    <x v="0"/>
    <s v="OK"/>
    <s v=""/>
  </r>
  <r>
    <x v="1"/>
    <s v="High"/>
    <s v="Regular"/>
    <n v="202504241518"/>
    <x v="25"/>
    <x v="1"/>
    <x v="4"/>
    <x v="277"/>
    <x v="0"/>
    <x v="6"/>
    <x v="0"/>
    <x v="2"/>
    <s v="10 minutes"/>
    <n v="2"/>
    <m/>
    <m/>
    <m/>
    <m/>
    <d v="2025-04-24T00:00:00"/>
    <d v="2025-04-24T00:00:00"/>
    <d v="2025-04-24T00:00:00"/>
    <x v="0"/>
    <x v="1"/>
    <s v="None"/>
    <x v="0"/>
    <x v="0"/>
    <s v="No"/>
    <x v="0"/>
    <s v="No"/>
    <x v="0"/>
    <x v="0"/>
    <x v="0"/>
    <x v="1"/>
    <x v="0"/>
    <x v="0"/>
    <x v="0"/>
    <x v="0"/>
    <x v="0"/>
    <n v="0"/>
    <n v="0"/>
    <n v="0"/>
    <x v="0"/>
    <x v="0"/>
    <s v="OK"/>
    <s v=""/>
  </r>
  <r>
    <x v="0"/>
    <s v="High"/>
    <s v="Regular"/>
    <n v="202503141430"/>
    <x v="48"/>
    <x v="3"/>
    <x v="0"/>
    <x v="278"/>
    <x v="0"/>
    <x v="5"/>
    <x v="0"/>
    <x v="0"/>
    <s v="1 hour"/>
    <n v="2"/>
    <n v="2"/>
    <m/>
    <n v="1"/>
    <m/>
    <d v="2025-03-14T00:00:00"/>
    <d v="2025-03-14T00:00:00"/>
    <d v="2025-03-14T00:00:00"/>
    <x v="0"/>
    <x v="10"/>
    <s v="None"/>
    <x v="1"/>
    <x v="2"/>
    <s v="No"/>
    <x v="0"/>
    <s v="No"/>
    <x v="0"/>
    <x v="0"/>
    <x v="1"/>
    <x v="1"/>
    <x v="0"/>
    <x v="1"/>
    <x v="0"/>
    <x v="1"/>
    <x v="1"/>
    <n v="0"/>
    <n v="28"/>
    <n v="0"/>
    <x v="0"/>
    <x v="0"/>
    <s v="OK"/>
    <s v=""/>
  </r>
  <r>
    <x v="0"/>
    <s v="High"/>
    <s v="Regular"/>
    <n v="202504151308"/>
    <x v="48"/>
    <x v="3"/>
    <x v="0"/>
    <x v="279"/>
    <x v="0"/>
    <x v="3"/>
    <x v="0"/>
    <x v="0"/>
    <s v="2 hours"/>
    <n v="2"/>
    <n v="2"/>
    <m/>
    <m/>
    <m/>
    <d v="2025-04-15T00:00:00"/>
    <d v="2025-04-15T00:00:00"/>
    <d v="2025-04-15T00:00:00"/>
    <x v="0"/>
    <x v="7"/>
    <s v="None"/>
    <x v="1"/>
    <x v="1"/>
    <s v="No"/>
    <x v="0"/>
    <s v="No"/>
    <x v="1"/>
    <x v="0"/>
    <x v="0"/>
    <x v="0"/>
    <x v="0"/>
    <x v="1"/>
    <x v="0"/>
    <x v="1"/>
    <x v="1"/>
    <n v="0"/>
    <n v="1"/>
    <n v="0"/>
    <x v="0"/>
    <x v="0"/>
    <s v="OK"/>
    <s v=""/>
  </r>
  <r>
    <x v="0"/>
    <s v="High"/>
    <s v="Regular"/>
    <n v="202504010811"/>
    <x v="5"/>
    <x v="3"/>
    <x v="0"/>
    <x v="280"/>
    <x v="0"/>
    <x v="2"/>
    <x v="0"/>
    <x v="0"/>
    <s v="40 minutes"/>
    <n v="2"/>
    <n v="2"/>
    <m/>
    <m/>
    <m/>
    <d v="2025-04-01T00:00:00"/>
    <d v="2025-04-01T00:00:00"/>
    <d v="2025-04-01T00:00:00"/>
    <x v="0"/>
    <x v="8"/>
    <s v="None"/>
    <x v="0"/>
    <x v="0"/>
    <s v="No"/>
    <x v="0"/>
    <s v="No"/>
    <x v="0"/>
    <x v="0"/>
    <x v="0"/>
    <x v="0"/>
    <x v="0"/>
    <x v="1"/>
    <x v="0"/>
    <x v="0"/>
    <x v="0"/>
    <n v="0"/>
    <n v="0"/>
    <n v="0"/>
    <x v="0"/>
    <x v="0"/>
    <s v="OK"/>
    <s v=""/>
  </r>
  <r>
    <x v="0"/>
    <s v="High"/>
    <s v="Regular"/>
    <n v="202504020821"/>
    <x v="5"/>
    <x v="3"/>
    <x v="0"/>
    <x v="281"/>
    <x v="0"/>
    <x v="2"/>
    <x v="0"/>
    <x v="0"/>
    <s v="30 minutes"/>
    <n v="2"/>
    <n v="2"/>
    <m/>
    <m/>
    <m/>
    <d v="2025-04-02T00:00:00"/>
    <d v="2025-04-02T00:00:00"/>
    <d v="2025-04-02T00:00:00"/>
    <x v="0"/>
    <x v="15"/>
    <s v="None"/>
    <x v="1"/>
    <x v="1"/>
    <s v="No"/>
    <x v="0"/>
    <s v="No"/>
    <x v="0"/>
    <x v="0"/>
    <x v="0"/>
    <x v="0"/>
    <x v="0"/>
    <x v="1"/>
    <x v="0"/>
    <x v="1"/>
    <x v="1"/>
    <n v="0"/>
    <n v="0"/>
    <n v="0"/>
    <x v="0"/>
    <x v="0"/>
    <s v="OK"/>
    <s v=""/>
  </r>
  <r>
    <x v="0"/>
    <s v="High"/>
    <s v="Regular"/>
    <n v="202504021009"/>
    <x v="5"/>
    <x v="3"/>
    <x v="0"/>
    <x v="282"/>
    <x v="0"/>
    <x v="2"/>
    <x v="0"/>
    <x v="0"/>
    <s v="40 minutes"/>
    <n v="2"/>
    <n v="2"/>
    <m/>
    <m/>
    <m/>
    <d v="2025-04-02T00:00:00"/>
    <d v="2025-04-02T00:00:00"/>
    <d v="2025-04-02T00:00:00"/>
    <x v="0"/>
    <x v="15"/>
    <s v="None"/>
    <x v="1"/>
    <x v="1"/>
    <s v="No"/>
    <x v="0"/>
    <s v="No"/>
    <x v="0"/>
    <x v="0"/>
    <x v="0"/>
    <x v="1"/>
    <x v="0"/>
    <x v="1"/>
    <x v="0"/>
    <x v="0"/>
    <x v="1"/>
    <n v="0"/>
    <n v="0"/>
    <n v="0"/>
    <x v="0"/>
    <x v="0"/>
    <s v="OK"/>
    <s v=""/>
  </r>
  <r>
    <x v="0"/>
    <s v="High"/>
    <s v="Regular"/>
    <n v="202504020811"/>
    <x v="5"/>
    <x v="3"/>
    <x v="0"/>
    <x v="283"/>
    <x v="0"/>
    <x v="8"/>
    <x v="0"/>
    <x v="0"/>
    <s v="40 minutes"/>
    <n v="2"/>
    <n v="2"/>
    <m/>
    <m/>
    <m/>
    <d v="2025-04-02T00:00:00"/>
    <d v="2025-04-02T00:00:00"/>
    <d v="2025-04-02T00:00:00"/>
    <x v="0"/>
    <x v="15"/>
    <s v="None"/>
    <x v="1"/>
    <x v="1"/>
    <s v="No"/>
    <x v="0"/>
    <s v="No"/>
    <x v="0"/>
    <x v="0"/>
    <x v="0"/>
    <x v="0"/>
    <x v="1"/>
    <x v="1"/>
    <x v="0"/>
    <x v="0"/>
    <x v="1"/>
    <n v="0"/>
    <n v="0"/>
    <n v="0"/>
    <x v="0"/>
    <x v="0"/>
    <s v="OK"/>
    <s v=""/>
  </r>
  <r>
    <x v="0"/>
    <s v="High"/>
    <s v="Regular"/>
    <n v="202504151536"/>
    <x v="48"/>
    <x v="3"/>
    <x v="0"/>
    <x v="284"/>
    <x v="0"/>
    <x v="1"/>
    <x v="0"/>
    <x v="0"/>
    <s v="15 minutes"/>
    <n v="2"/>
    <m/>
    <m/>
    <n v="1"/>
    <m/>
    <d v="2025-04-15T00:00:00"/>
    <d v="2025-04-15T00:00:00"/>
    <d v="2025-04-15T00:00:00"/>
    <x v="0"/>
    <x v="7"/>
    <s v="None"/>
    <x v="0"/>
    <x v="0"/>
    <s v="No"/>
    <x v="0"/>
    <s v="No"/>
    <x v="0"/>
    <x v="0"/>
    <x v="0"/>
    <x v="0"/>
    <x v="0"/>
    <x v="0"/>
    <x v="0"/>
    <x v="0"/>
    <x v="0"/>
    <n v="0"/>
    <n v="1"/>
    <n v="0"/>
    <x v="0"/>
    <x v="0"/>
    <s v="OK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coderSLA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olHeaderCaption="SLA">
  <location ref="B6:D18" firstHeaderRow="1" firstDataRow="2" firstDataCol="1" rowPageCount="2" colPageCount="1"/>
  <pivotFields count="47"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dataField="1" showAll="0"/>
    <pivotField showAll="0"/>
    <pivotField axis="axisRow" showAll="0" sortType="ascending">
      <items count="10">
        <item x="5"/>
        <item x="2"/>
        <item x="0"/>
        <item x="7"/>
        <item x="6"/>
        <item x="3"/>
        <item x="4"/>
        <item x="8"/>
        <item x="1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>
      <items count="9">
        <item x="0"/>
        <item x="4"/>
        <item x="6"/>
        <item x="2"/>
        <item x="7"/>
        <item x="1"/>
        <item x="3"/>
        <item x="5"/>
        <item t="default"/>
      </items>
    </pivotField>
    <pivotField numFmtId="14" showAll="0">
      <items count="21">
        <item sd="0" x="8"/>
        <item sd="0" x="15"/>
        <item sd="0" x="18"/>
        <item sd="0" x="11"/>
        <item sd="0" x="12"/>
        <item sd="0" x="19"/>
        <item x="3"/>
        <item x="5"/>
        <item x="4"/>
        <item x="16"/>
        <item x="6"/>
        <item x="7"/>
        <item x="17"/>
        <item x="2"/>
        <item x="9"/>
        <item x="1"/>
        <item x="10"/>
        <item x="0"/>
        <item x="13"/>
        <item x="14"/>
        <item t="default"/>
      </items>
    </pivotField>
    <pivotField showAll="0"/>
    <pivotField showAll="0" defaultSubtotal="0"/>
    <pivotField showAll="0" defaultSubtotal="0"/>
    <pivotField showAll="0"/>
    <pivotField axis="axisPage" multipleItemSelectionAllowed="1" showAll="0" defaultSubtotal="0">
      <items count="2">
        <item x="0"/>
        <item x="1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axis="axisCol" showAll="0" sortType="ascending">
      <items count="2">
        <item x="0"/>
        <item t="default"/>
      </items>
    </pivotField>
    <pivotField showAll="0" defaultSubtotal="0"/>
    <pivotField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46"/>
    <field x="9"/>
  </rowFields>
  <rowItems count="11"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42"/>
  </colFields>
  <colItems count="2">
    <i>
      <x/>
    </i>
    <i t="grand">
      <x/>
    </i>
  </colItems>
  <pageFields count="2">
    <pageField fld="0" hier="-1"/>
    <pageField fld="27" hier="-1"/>
  </pageFields>
  <dataFields count="1">
    <dataField name="Coder SLA" fld="7" subtotal="count" baseField="21" baseItem="1"/>
  </dataFields>
  <formats count="3">
    <format dxfId="51">
      <pivotArea type="origin" dataOnly="0" labelOnly="1" outline="0" fieldPosition="0"/>
    </format>
    <format dxfId="50">
      <pivotArea field="42" type="button" dataOnly="0" labelOnly="1" outline="0" axis="axisCol" fieldPosition="0"/>
    </format>
    <format dxfId="49">
      <pivotArea type="topRight" dataOnly="0" labelOnly="1" outline="0" fieldPosition="0"/>
    </format>
  </formats>
  <pivotTableStyleInfo name="PivotStyleMedium6" showRowHeaders="1" showColHeaders="1" showRowStripes="0" showColStripes="0" showLastColumn="1"/>
  <filters count="1">
    <filter fld="22" type="M4" evalOrder="-1" id="5">
      <autoFilter ref="A1">
        <filterColumn colId="0">
          <dynamicFilter type="M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Table3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olHeaderCaption="Amendment by QA">
  <location ref="N6:Q18" firstHeaderRow="1" firstDataRow="2" firstDataCol="1" rowPageCount="1" colPageCount="1"/>
  <pivotFields count="47">
    <pivotField showAll="0"/>
    <pivotField showAll="0"/>
    <pivotField showAll="0"/>
    <pivotField showAll="0"/>
    <pivotField showAll="0"/>
    <pivotField showAll="0"/>
    <pivotField showAll="0" defaultSubtotal="0"/>
    <pivotField dataField="1" showAll="0"/>
    <pivotField showAll="0"/>
    <pivotField axis="axisRow" showAll="0" sortType="ascending">
      <items count="10">
        <item x="5"/>
        <item x="2"/>
        <item x="0"/>
        <item x="7"/>
        <item x="6"/>
        <item x="3"/>
        <item x="4"/>
        <item x="8"/>
        <item x="1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numFmtId="14" showAll="0">
      <items count="21">
        <item x="8"/>
        <item x="15"/>
        <item x="18"/>
        <item x="11"/>
        <item x="12"/>
        <item x="19"/>
        <item x="3"/>
        <item x="5"/>
        <item x="4"/>
        <item x="16"/>
        <item x="6"/>
        <item x="7"/>
        <item x="17"/>
        <item x="2"/>
        <item x="9"/>
        <item x="1"/>
        <item x="10"/>
        <item x="0"/>
        <item x="13"/>
        <item x="14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Col" multipleItemSelectionAllowed="1" showAll="0">
      <items count="3">
        <item x="0"/>
        <item x="1"/>
        <item t="default"/>
      </items>
    </pivotField>
    <pivotField axis="axisPage" multipleItemSelectionAllowed="1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46"/>
    <field x="9"/>
  </rowFields>
  <rowItems count="11"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36"/>
  </colFields>
  <colItems count="3">
    <i>
      <x/>
    </i>
    <i>
      <x v="1"/>
    </i>
    <i t="grand">
      <x/>
    </i>
  </colItems>
  <pageFields count="1">
    <pageField fld="37" hier="-1"/>
  </pageFields>
  <dataFields count="1">
    <dataField name="Count of Subject" fld="7" subtotal="count" baseField="0" baseItem="0"/>
  </dataFields>
  <formats count="3">
    <format dxfId="54">
      <pivotArea type="origin" dataOnly="0" labelOnly="1" outline="0" fieldPosition="0"/>
    </format>
    <format dxfId="53">
      <pivotArea field="36" type="button" dataOnly="0" labelOnly="1" outline="0" axis="axisCol" fieldPosition="0"/>
    </format>
    <format dxfId="52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bypassQA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olHeaderCaption="Flagged Issues">
  <location ref="H6:K17" firstHeaderRow="0" firstDataRow="1" firstDataCol="1" rowPageCount="1" colPageCount="1"/>
  <pivotFields count="47">
    <pivotField showAll="0"/>
    <pivotField showAll="0"/>
    <pivotField showAll="0"/>
    <pivotField dataField="1" showAll="0"/>
    <pivotField showAll="0"/>
    <pivotField showAll="0"/>
    <pivotField showAll="0" defaultSubtotal="0"/>
    <pivotField showAll="0"/>
    <pivotField showAll="0"/>
    <pivotField axis="axisRow" showAll="0" sortType="ascending">
      <items count="10">
        <item x="5"/>
        <item x="2"/>
        <item x="0"/>
        <item x="7"/>
        <item x="6"/>
        <item x="3"/>
        <item x="4"/>
        <item x="8"/>
        <item x="1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numFmtId="14" showAll="0">
      <items count="21">
        <item x="8"/>
        <item x="15"/>
        <item x="18"/>
        <item x="11"/>
        <item x="12"/>
        <item x="19"/>
        <item x="3"/>
        <item x="5"/>
        <item x="4"/>
        <item x="16"/>
        <item x="6"/>
        <item x="7"/>
        <item x="17"/>
        <item x="2"/>
        <item x="9"/>
        <item x="1"/>
        <item x="10"/>
        <item x="0"/>
        <item x="13"/>
        <item x="14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  <pivotField multipleItemSelectionAllowed="1" showAll="0"/>
    <pivotField axis="axisPage" multipleItemSelectionAllowed="1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46"/>
    <field x="9"/>
  </rowFields>
  <rowItems count="11"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7" hier="-1"/>
  </pageFields>
  <dataFields count="3">
    <dataField name="Sum of Flagged-Issues (# of URLs)" fld="35" baseField="9" baseItem="4"/>
    <dataField name="Count of Flagged issues # of tasks" fld="44" subtotal="countNums" baseField="9" baseItem="4"/>
    <dataField name="Number of requests" fld="3" subtotal="count" baseField="44" baseItem="0"/>
  </dataFields>
  <formats count="6">
    <format dxfId="60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5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requestPages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B4:F15" firstHeaderRow="0" firstDataRow="1" firstDataCol="1" rowPageCount="1" colPageCount="1"/>
  <pivotFields count="47"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dataField="1" showAll="0">
      <items count="28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t="default"/>
      </items>
    </pivotField>
    <pivotField showAll="0"/>
    <pivotField axis="axisRow" multipleItemSelectionAllowed="1" showAll="0" sortType="ascending">
      <items count="10">
        <item x="5"/>
        <item x="2"/>
        <item x="0"/>
        <item x="7"/>
        <item x="6"/>
        <item x="3"/>
        <item x="4"/>
        <item x="8"/>
        <item x="1"/>
        <item t="default" sd="0"/>
      </items>
    </pivotField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numFmtId="14" showAll="0"/>
    <pivotField showAll="0"/>
    <pivotField showAll="0"/>
    <pivotField showAll="0"/>
    <pivotField numFmtId="14" showAll="0">
      <items count="21">
        <item x="8"/>
        <item x="15"/>
        <item x="18"/>
        <item x="11"/>
        <item x="12"/>
        <item x="19"/>
        <item x="3"/>
        <item x="5"/>
        <item x="4"/>
        <item x="16"/>
        <item x="6"/>
        <item x="7"/>
        <item x="17"/>
        <item x="2"/>
        <item x="9"/>
        <item x="1"/>
        <item x="10"/>
        <item x="0"/>
        <item x="13"/>
        <item x="14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46"/>
    <field x="9"/>
  </rowFields>
  <rowItems count="11"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Sum of New Pages" fld="14" baseField="21" baseItem="4"/>
    <dataField name="Sum of Updated Pages" fld="13" baseField="21" baseItem="4"/>
    <dataField name="Sum of Deleted Pages" fld="15" baseField="21" baseItem="4"/>
    <dataField name="#requests" fld="7" subtotal="count" baseField="46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riagerIssues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rowHeaderCaption="Triager" colHeaderCaption="Missing info">
  <location ref="L8:M14" firstHeaderRow="1" firstDataRow="1" firstDataCol="1" rowPageCount="4" colPageCount="1"/>
  <pivotFields count="47"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dataField="1" showAll="0"/>
    <pivotField axis="axisRow" showAll="0">
      <items count="5">
        <item x="2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numFmtId="14" showAll="0">
      <items count="21">
        <item x="8"/>
        <item x="15"/>
        <item x="18"/>
        <item x="11"/>
        <item x="12"/>
        <item x="19"/>
        <item x="3"/>
        <item x="5"/>
        <item x="4"/>
        <item x="16"/>
        <item x="6"/>
        <item x="7"/>
        <item x="17"/>
        <item x="2"/>
        <item x="9"/>
        <item x="1"/>
        <item x="10"/>
        <item x="0"/>
        <item x="13"/>
        <item x="14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/>
    <pivotField axis="axisPage" multipleItemSelectionAllowed="1" showAll="0">
      <items count="3">
        <item x="0"/>
        <item h="1" x="1"/>
        <item t="default"/>
      </items>
    </pivotField>
    <pivotField axis="axisPage" multipleItemSelectionAllowed="1" showAll="0">
      <items count="3">
        <item x="0"/>
        <item h="1" x="1"/>
        <item t="default"/>
      </items>
    </pivotField>
    <pivotField axis="axisPage" multipleItemSelectionAllowed="1" showAll="0">
      <items count="3">
        <item x="0"/>
        <item h="1" x="1"/>
        <item t="default"/>
      </items>
    </pivotField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46"/>
    <field x="8"/>
  </rowFields>
  <rowItems count="6">
    <i>
      <x v="2"/>
    </i>
    <i r="1">
      <x/>
    </i>
    <i r="1">
      <x v="1"/>
    </i>
    <i r="1">
      <x v="2"/>
    </i>
    <i r="1">
      <x v="3"/>
    </i>
    <i t="grand">
      <x/>
    </i>
  </rowItems>
  <colItems count="1">
    <i/>
  </colItems>
  <pageFields count="4">
    <pageField fld="0" hier="-1"/>
    <pageField fld="29" hier="-1"/>
    <pageField fld="30" hier="-1"/>
    <pageField fld="31" hier="-1"/>
  </pageFields>
  <dataFields count="1">
    <dataField name="Count of Subject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triagerUnclear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rowHeaderCaption="Triager" colHeaderCaption="Unclear Instruction">
  <location ref="B4:E11" firstHeaderRow="1" firstDataRow="2" firstDataCol="1" rowPageCount="1" colPageCount="1"/>
  <pivotFields count="47"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dataField="1" showAll="0"/>
    <pivotField axis="axisRow" showAll="0">
      <items count="5">
        <item x="2"/>
        <item x="0"/>
        <item x="1"/>
        <item x="3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numFmtId="14" showAll="0">
      <items count="21">
        <item x="8"/>
        <item x="15"/>
        <item x="18"/>
        <item x="11"/>
        <item x="12"/>
        <item x="19"/>
        <item x="3"/>
        <item x="5"/>
        <item x="4"/>
        <item x="16"/>
        <item x="6"/>
        <item x="7"/>
        <item x="17"/>
        <item x="2"/>
        <item x="9"/>
        <item x="1"/>
        <item x="10"/>
        <item x="0"/>
        <item x="13"/>
        <item x="14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46"/>
    <field x="8"/>
  </rowFields>
  <rowItems count="6"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33"/>
  </colFields>
  <colItems count="3">
    <i>
      <x/>
    </i>
    <i>
      <x v="1"/>
    </i>
    <i t="grand">
      <x/>
    </i>
  </colItems>
  <pageFields count="1">
    <pageField fld="0" hier="-1"/>
  </pageFields>
  <dataFields count="1">
    <dataField name="Triager unclear instruction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riagerMissing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rowHeaderCaption="Triager" colHeaderCaption="Missing info">
  <location ref="G4:J11" firstHeaderRow="1" firstDataRow="2" firstDataCol="1" rowPageCount="1" colPageCount="1"/>
  <pivotFields count="47"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dataField="1" showAll="0"/>
    <pivotField axis="axisRow" showAll="0" sortType="ascending">
      <items count="5">
        <item x="0"/>
        <item x="3"/>
        <item x="1"/>
        <item x="2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numFmtId="14" showAll="0">
      <items count="21">
        <item x="8"/>
        <item x="15"/>
        <item x="18"/>
        <item x="11"/>
        <item x="12"/>
        <item x="19"/>
        <item x="3"/>
        <item x="5"/>
        <item x="4"/>
        <item x="16"/>
        <item x="6"/>
        <item x="7"/>
        <item x="17"/>
        <item x="2"/>
        <item x="9"/>
        <item x="1"/>
        <item x="10"/>
        <item x="0"/>
        <item x="13"/>
        <item x="14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/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46"/>
    <field x="8"/>
  </rowFields>
  <rowItems count="6"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32"/>
  </colFields>
  <colItems count="3">
    <i>
      <x/>
    </i>
    <i>
      <x v="1"/>
    </i>
    <i t="grand">
      <x/>
    </i>
  </colItems>
  <pageFields count="1">
    <pageField fld="0" hier="-1"/>
  </pageFields>
  <dataFields count="1">
    <dataField name="Triager missing info" fld="7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QAIssues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rowHeaderCaption="QA By" colHeaderCaption="Flagged Issues">
  <location ref="G4:K13" firstHeaderRow="1" firstDataRow="2" firstDataCol="1" rowPageCount="1" colPageCount="1"/>
  <pivotFields count="47">
    <pivotField showAll="0"/>
    <pivotField showAll="0"/>
    <pivotField showAll="0"/>
    <pivotField numFmtId="1" showAll="0"/>
    <pivotField showAll="0"/>
    <pivotField showAll="0"/>
    <pivotField showAll="0" defaultSubtota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numFmtId="14" showAll="0"/>
    <pivotField numFmtId="14" showAll="0"/>
    <pivotField showAll="0"/>
    <pivotField numFmtId="14" showAll="0">
      <items count="21">
        <item x="8"/>
        <item x="15"/>
        <item x="18"/>
        <item x="11"/>
        <item x="12"/>
        <item x="19"/>
        <item x="3"/>
        <item x="5"/>
        <item x="4"/>
        <item x="16"/>
        <item x="6"/>
        <item x="7"/>
        <item x="17"/>
        <item x="2"/>
        <item x="9"/>
        <item x="1"/>
        <item x="10"/>
        <item x="0"/>
        <item x="13"/>
        <item x="14"/>
        <item t="default"/>
      </items>
    </pivotField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axis="axisCol" showAll="0" defaultSubtotal="0">
      <items count="3">
        <item x="0"/>
        <item x="1"/>
        <item x="2"/>
      </items>
    </pivotField>
    <pivotField showAl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3">
    <field x="46"/>
    <field x="24"/>
    <field x="25"/>
  </rowFields>
  <rowItems count="8"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35"/>
  </colFields>
  <colItems count="4">
    <i>
      <x/>
    </i>
    <i>
      <x v="1"/>
    </i>
    <i>
      <x v="2"/>
    </i>
    <i t="grand">
      <x/>
    </i>
  </colItems>
  <pageFields count="1">
    <pageField fld="37" hier="-1"/>
  </pageFields>
  <dataFields count="1">
    <dataField name="Count of tasks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QAPages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rowHeaderCaption="QA By ">
  <location ref="B4:E12" firstHeaderRow="0" firstDataRow="1" firstDataCol="1"/>
  <pivotFields count="47">
    <pivotField showAll="0"/>
    <pivotField showAll="0"/>
    <pivotField showAll="0"/>
    <pivotField dataField="1" numFmtId="1"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numFmtId="14" showAll="0"/>
    <pivotField numFmtId="14" showAll="0"/>
    <pivotField numFmtId="14" showAll="0"/>
    <pivotField showAll="0"/>
    <pivotField numFmtId="14" showAll="0">
      <items count="21">
        <item x="8"/>
        <item x="15"/>
        <item x="18"/>
        <item x="11"/>
        <item x="12"/>
        <item x="19"/>
        <item x="3"/>
        <item x="5"/>
        <item x="4"/>
        <item x="16"/>
        <item x="6"/>
        <item x="7"/>
        <item x="17"/>
        <item x="2"/>
        <item x="9"/>
        <item x="1"/>
        <item x="10"/>
        <item x="0"/>
        <item x="13"/>
        <item x="14"/>
        <item t="default"/>
      </items>
    </pivotField>
    <pivotField showAll="0"/>
    <pivotField axis="axisRow" showAll="0">
      <items count="7">
        <item sd="0" x="0"/>
        <item x="1"/>
        <item x="2"/>
        <item x="3"/>
        <item x="4"/>
        <item x="5"/>
        <item t="default" sd="0"/>
      </items>
    </pivotField>
    <pivotField showAll="0" includeNewItemsInFilter="1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46"/>
    <field x="24"/>
  </rowFields>
  <rowItems count="8"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requests" fld="3" subtotal="count" baseField="23" baseItem="4"/>
    <dataField name="Sum of New Pages" fld="14" baseField="23" baseItem="0"/>
    <dataField name="Sum of Updated Pages" fld="13" baseField="2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5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C12:D678" firstHeaderRow="1" firstDataRow="1" firstDataCol="1" rowPageCount="9" colPageCount="1"/>
  <pivotFields count="47"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axis="axisRow" showAll="0">
      <items count="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 sd="0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 defaultSubtotal="0"/>
    <pivotField axis="axisRow" showAll="0">
      <items count="28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t="default"/>
      </items>
    </pivotField>
    <pivotField showAll="0"/>
    <pivotField showAll="0"/>
    <pivotField showAll="0"/>
    <pivotField axis="axisPage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axis="axisRow" numFmtId="14" showAll="0">
      <items count="21">
        <item x="8"/>
        <item x="15"/>
        <item x="18"/>
        <item x="11"/>
        <item x="12"/>
        <item x="19"/>
        <item x="3"/>
        <item x="5"/>
        <item x="4"/>
        <item x="16"/>
        <item x="6"/>
        <item x="7"/>
        <item x="17"/>
        <item x="2"/>
        <item x="9"/>
        <item x="1"/>
        <item x="10"/>
        <item x="0"/>
        <item x="13"/>
        <item x="14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/>
    <pivotField axis="axisPage" multipleItemSelectionAllowed="1" showAll="0" sortType="ascending">
      <items count="3">
        <item x="0"/>
        <item x="1"/>
        <item t="default"/>
      </items>
    </pivotField>
    <pivotField name="Tracked Clean" axis="axisPage" multipleItemSelectionAllowed="1" showAll="0">
      <items count="3">
        <item x="0"/>
        <item x="1"/>
        <item t="default"/>
      </items>
    </pivotField>
    <pivotField name="Complete Request" axis="axisPage" multipleItemSelectionAllowed="1" showAll="0">
      <items count="3">
        <item x="0"/>
        <item x="1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x="0"/>
        <item x="1"/>
        <item t="default"/>
      </items>
    </pivotField>
    <pivotField name="Amendment by Client" axis="axisPage" showAll="0">
      <items count="3">
        <item x="0"/>
        <item x="1"/>
        <item t="default"/>
      </items>
    </pivotField>
    <pivotField showAll="0" defaultSubtotal="0"/>
    <pivotField showAll="0"/>
    <pivotField showAll="0" defaultSubtotal="0"/>
    <pivotField showAll="0"/>
    <pivotField showAll="0"/>
    <pivotField showAll="0"/>
    <pivotField name="Coding day vs complexity " axis="axisPage" multipleItemSelectionAllowed="1" showAll="0">
      <items count="3">
        <item x="0"/>
        <item x="1"/>
        <item t="default"/>
      </items>
    </pivotField>
    <pivotField showAll="0"/>
    <pivotField showAll="0" defaultSubtotal="0"/>
    <pivotField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6">
    <field x="5"/>
    <field x="4"/>
    <field x="46"/>
    <field x="45"/>
    <field x="22"/>
    <field x="7"/>
  </rowFields>
  <rowItems count="666">
    <i>
      <x/>
    </i>
    <i r="1">
      <x/>
    </i>
    <i r="2">
      <x v="2"/>
    </i>
    <i r="3">
      <x v="4"/>
    </i>
    <i r="4">
      <x/>
    </i>
    <i r="5">
      <x v="128"/>
    </i>
    <i r="4">
      <x v="10"/>
    </i>
    <i r="5">
      <x v="146"/>
    </i>
    <i r="4">
      <x v="12"/>
    </i>
    <i r="5">
      <x v="149"/>
    </i>
    <i r="4">
      <x v="17"/>
    </i>
    <i r="5">
      <x/>
    </i>
    <i r="1">
      <x v="3"/>
    </i>
    <i r="2">
      <x v="2"/>
    </i>
    <i r="3">
      <x v="4"/>
    </i>
    <i r="4">
      <x/>
    </i>
    <i r="5">
      <x v="9"/>
    </i>
    <i r="4">
      <x v="3"/>
    </i>
    <i r="5">
      <x v="14"/>
    </i>
    <i r="4">
      <x v="4"/>
    </i>
    <i r="5">
      <x v="15"/>
    </i>
    <i r="5">
      <x v="16"/>
    </i>
    <i r="4">
      <x v="6"/>
    </i>
    <i r="5">
      <x v="5"/>
    </i>
    <i r="5">
      <x v="17"/>
    </i>
    <i r="4">
      <x v="7"/>
    </i>
    <i r="5">
      <x v="6"/>
    </i>
    <i r="4">
      <x v="8"/>
    </i>
    <i r="5">
      <x v="6"/>
    </i>
    <i r="4">
      <x v="10"/>
    </i>
    <i r="5">
      <x v="7"/>
    </i>
    <i r="4">
      <x v="11"/>
    </i>
    <i r="5">
      <x v="8"/>
    </i>
    <i r="4">
      <x v="13"/>
    </i>
    <i r="5">
      <x v="10"/>
    </i>
    <i r="5">
      <x v="11"/>
    </i>
    <i r="4">
      <x v="14"/>
    </i>
    <i r="5">
      <x v="12"/>
    </i>
    <i r="4">
      <x v="16"/>
    </i>
    <i r="5">
      <x v="13"/>
    </i>
    <i r="1">
      <x v="11"/>
    </i>
    <i r="2">
      <x v="2"/>
    </i>
    <i r="3">
      <x v="4"/>
    </i>
    <i r="4">
      <x v="4"/>
    </i>
    <i r="5">
      <x v="32"/>
    </i>
    <i r="5">
      <x v="33"/>
    </i>
    <i r="5">
      <x v="190"/>
    </i>
    <i r="4">
      <x v="8"/>
    </i>
    <i r="5">
      <x v="34"/>
    </i>
    <i r="4">
      <x v="15"/>
    </i>
    <i r="5">
      <x v="35"/>
    </i>
    <i r="4">
      <x v="19"/>
    </i>
    <i r="5">
      <x v="36"/>
    </i>
    <i r="1">
      <x v="45"/>
    </i>
    <i r="2">
      <x v="2"/>
    </i>
    <i r="3">
      <x v="4"/>
    </i>
    <i r="4">
      <x v="7"/>
    </i>
    <i r="5">
      <x v="229"/>
    </i>
    <i r="4">
      <x v="17"/>
    </i>
    <i r="5">
      <x v="276"/>
    </i>
    <i r="4">
      <x v="19"/>
    </i>
    <i r="5">
      <x v="231"/>
    </i>
    <i r="1">
      <x v="46"/>
    </i>
    <i r="2">
      <x v="2"/>
    </i>
    <i r="3">
      <x v="4"/>
    </i>
    <i r="4">
      <x v="13"/>
    </i>
    <i r="5">
      <x v="230"/>
    </i>
    <i r="1">
      <x v="47"/>
    </i>
    <i r="2">
      <x v="2"/>
    </i>
    <i r="3">
      <x v="4"/>
    </i>
    <i r="4">
      <x v="8"/>
    </i>
    <i r="5">
      <x v="234"/>
    </i>
    <i>
      <x v="1"/>
    </i>
    <i r="1">
      <x v="1"/>
    </i>
    <i r="2">
      <x v="2"/>
    </i>
    <i r="3">
      <x v="4"/>
    </i>
    <i r="4">
      <x v="2"/>
    </i>
    <i r="5">
      <x v="59"/>
    </i>
    <i r="4">
      <x v="4"/>
    </i>
    <i r="5">
      <x v="71"/>
    </i>
    <i r="4">
      <x v="5"/>
    </i>
    <i r="5">
      <x v="74"/>
    </i>
    <i r="5">
      <x v="76"/>
    </i>
    <i r="4">
      <x v="7"/>
    </i>
    <i r="5">
      <x v="42"/>
    </i>
    <i r="4">
      <x v="15"/>
    </i>
    <i r="5">
      <x v="1"/>
    </i>
    <i r="4">
      <x v="16"/>
    </i>
    <i r="5">
      <x v="88"/>
    </i>
    <i r="4">
      <x v="17"/>
    </i>
    <i r="5">
      <x v="86"/>
    </i>
    <i r="4">
      <x v="19"/>
    </i>
    <i r="5">
      <x v="63"/>
    </i>
    <i r="1">
      <x v="6"/>
    </i>
    <i r="2">
      <x v="2"/>
    </i>
    <i r="3">
      <x v="4"/>
    </i>
    <i r="4">
      <x/>
    </i>
    <i r="5">
      <x v="29"/>
    </i>
    <i r="4">
      <x v="4"/>
    </i>
    <i r="5">
      <x v="23"/>
    </i>
    <i r="4">
      <x v="5"/>
    </i>
    <i r="5">
      <x v="236"/>
    </i>
    <i r="4">
      <x v="6"/>
    </i>
    <i r="5">
      <x v="26"/>
    </i>
    <i r="4">
      <x v="8"/>
    </i>
    <i r="5">
      <x v="24"/>
    </i>
    <i r="4">
      <x v="13"/>
    </i>
    <i r="5">
      <x v="25"/>
    </i>
    <i r="4">
      <x v="16"/>
    </i>
    <i r="5">
      <x v="235"/>
    </i>
    <i r="1">
      <x v="10"/>
    </i>
    <i r="2">
      <x v="2"/>
    </i>
    <i r="3">
      <x v="4"/>
    </i>
    <i r="4">
      <x/>
    </i>
    <i r="5">
      <x v="183"/>
    </i>
    <i r="4">
      <x v="1"/>
    </i>
    <i r="5">
      <x v="51"/>
    </i>
    <i r="4">
      <x v="2"/>
    </i>
    <i r="5">
      <x v="65"/>
    </i>
    <i r="5">
      <x v="69"/>
    </i>
    <i r="4">
      <x v="4"/>
    </i>
    <i r="5">
      <x v="72"/>
    </i>
    <i r="4">
      <x v="8"/>
    </i>
    <i r="5">
      <x v="244"/>
    </i>
    <i r="4">
      <x v="9"/>
    </i>
    <i r="5">
      <x v="47"/>
    </i>
    <i r="4">
      <x v="13"/>
    </i>
    <i r="5">
      <x v="238"/>
    </i>
    <i r="4">
      <x v="15"/>
    </i>
    <i r="5">
      <x v="208"/>
    </i>
    <i r="4">
      <x v="16"/>
    </i>
    <i r="5">
      <x v="94"/>
    </i>
    <i r="4">
      <x v="17"/>
    </i>
    <i r="5">
      <x v="93"/>
    </i>
    <i r="4">
      <x v="19"/>
    </i>
    <i r="5">
      <x v="31"/>
    </i>
    <i r="5">
      <x v="55"/>
    </i>
    <i r="1">
      <x v="12"/>
    </i>
    <i r="2">
      <x v="2"/>
    </i>
    <i r="3">
      <x v="4"/>
    </i>
    <i r="4">
      <x/>
    </i>
    <i r="5">
      <x v="103"/>
    </i>
    <i r="5">
      <x v="104"/>
    </i>
    <i r="4">
      <x v="6"/>
    </i>
    <i r="5">
      <x v="191"/>
    </i>
    <i r="4">
      <x v="8"/>
    </i>
    <i r="5">
      <x v="122"/>
    </i>
    <i r="5">
      <x v="263"/>
    </i>
    <i r="4">
      <x v="11"/>
    </i>
    <i r="5">
      <x v="38"/>
    </i>
    <i r="4">
      <x v="16"/>
    </i>
    <i r="5">
      <x v="240"/>
    </i>
    <i r="1">
      <x v="15"/>
    </i>
    <i r="2">
      <x v="2"/>
    </i>
    <i r="3">
      <x v="4"/>
    </i>
    <i r="4">
      <x v="2"/>
    </i>
    <i r="5">
      <x v="58"/>
    </i>
    <i r="5">
      <x v="87"/>
    </i>
    <i r="4">
      <x v="3"/>
    </i>
    <i r="5">
      <x v="41"/>
    </i>
    <i r="4">
      <x v="9"/>
    </i>
    <i r="5">
      <x v="44"/>
    </i>
    <i r="4">
      <x v="15"/>
    </i>
    <i r="5">
      <x v="57"/>
    </i>
    <i r="4">
      <x v="19"/>
    </i>
    <i r="5">
      <x v="239"/>
    </i>
    <i r="1">
      <x v="16"/>
    </i>
    <i r="2">
      <x v="2"/>
    </i>
    <i r="3">
      <x v="4"/>
    </i>
    <i r="4">
      <x v="3"/>
    </i>
    <i r="5">
      <x v="250"/>
    </i>
    <i r="4">
      <x v="8"/>
    </i>
    <i r="5">
      <x v="43"/>
    </i>
    <i r="4">
      <x v="9"/>
    </i>
    <i r="5">
      <x v="108"/>
    </i>
    <i r="5">
      <x v="192"/>
    </i>
    <i r="4">
      <x v="10"/>
    </i>
    <i r="5">
      <x v="48"/>
    </i>
    <i r="4">
      <x v="14"/>
    </i>
    <i r="5">
      <x v="53"/>
    </i>
    <i r="4">
      <x v="18"/>
    </i>
    <i r="5">
      <x v="105"/>
    </i>
    <i r="1">
      <x v="19"/>
    </i>
    <i r="2">
      <x v="2"/>
    </i>
    <i r="3">
      <x v="4"/>
    </i>
    <i r="4">
      <x v="2"/>
    </i>
    <i r="5">
      <x v="188"/>
    </i>
    <i r="4">
      <x v="6"/>
    </i>
    <i r="5">
      <x v="73"/>
    </i>
    <i r="5">
      <x v="132"/>
    </i>
    <i r="4">
      <x v="12"/>
    </i>
    <i r="5">
      <x v="50"/>
    </i>
    <i r="5">
      <x v="80"/>
    </i>
    <i r="4">
      <x v="16"/>
    </i>
    <i r="5">
      <x v="96"/>
    </i>
    <i r="4">
      <x v="18"/>
    </i>
    <i r="5">
      <x v="54"/>
    </i>
    <i r="4">
      <x v="19"/>
    </i>
    <i r="5">
      <x v="62"/>
    </i>
    <i r="1">
      <x v="22"/>
    </i>
    <i r="2">
      <x v="2"/>
    </i>
    <i r="3">
      <x v="4"/>
    </i>
    <i r="4">
      <x/>
    </i>
    <i r="5">
      <x v="242"/>
    </i>
    <i r="4">
      <x v="3"/>
    </i>
    <i r="5">
      <x v="67"/>
    </i>
    <i r="5">
      <x v="85"/>
    </i>
    <i r="4">
      <x v="4"/>
    </i>
    <i r="5">
      <x v="163"/>
    </i>
    <i r="5">
      <x v="164"/>
    </i>
    <i r="4">
      <x v="17"/>
    </i>
    <i r="5">
      <x v="127"/>
    </i>
    <i r="4">
      <x v="19"/>
    </i>
    <i r="5">
      <x v="64"/>
    </i>
    <i r="1">
      <x v="24"/>
    </i>
    <i r="2">
      <x v="2"/>
    </i>
    <i r="3">
      <x v="4"/>
    </i>
    <i r="4">
      <x/>
    </i>
    <i r="5">
      <x v="97"/>
    </i>
    <i r="4">
      <x v="1"/>
    </i>
    <i r="5">
      <x v="98"/>
    </i>
    <i r="5">
      <x v="222"/>
    </i>
    <i r="4">
      <x v="2"/>
    </i>
    <i r="5">
      <x v="216"/>
    </i>
    <i r="4">
      <x v="4"/>
    </i>
    <i r="5">
      <x v="70"/>
    </i>
    <i r="4">
      <x v="6"/>
    </i>
    <i r="5">
      <x v="206"/>
    </i>
    <i r="4">
      <x v="12"/>
    </i>
    <i r="5">
      <x v="126"/>
    </i>
    <i r="1">
      <x v="25"/>
    </i>
    <i r="2">
      <x v="2"/>
    </i>
    <i r="3">
      <x v="4"/>
    </i>
    <i r="4">
      <x v="1"/>
    </i>
    <i r="5">
      <x v="81"/>
    </i>
    <i r="4">
      <x v="3"/>
    </i>
    <i r="5">
      <x v="249"/>
    </i>
    <i r="4">
      <x v="6"/>
    </i>
    <i r="5">
      <x v="248"/>
    </i>
    <i r="4">
      <x v="12"/>
    </i>
    <i r="5">
      <x v="78"/>
    </i>
    <i r="4">
      <x v="14"/>
    </i>
    <i r="5">
      <x v="79"/>
    </i>
    <i r="4">
      <x v="15"/>
    </i>
    <i r="5">
      <x v="277"/>
    </i>
    <i r="1">
      <x v="26"/>
    </i>
    <i r="2">
      <x v="2"/>
    </i>
    <i r="3">
      <x v="4"/>
    </i>
    <i r="4">
      <x v="1"/>
    </i>
    <i r="5">
      <x v="170"/>
    </i>
    <i r="4">
      <x v="2"/>
    </i>
    <i r="5">
      <x v="169"/>
    </i>
    <i r="4">
      <x v="4"/>
    </i>
    <i r="5">
      <x v="83"/>
    </i>
    <i r="4">
      <x v="7"/>
    </i>
    <i r="5">
      <x v="82"/>
    </i>
    <i r="5">
      <x v="84"/>
    </i>
    <i r="4">
      <x v="17"/>
    </i>
    <i r="5">
      <x v="171"/>
    </i>
    <i r="1">
      <x v="29"/>
    </i>
    <i r="2">
      <x v="2"/>
    </i>
    <i r="3">
      <x v="4"/>
    </i>
    <i r="4">
      <x/>
    </i>
    <i r="5">
      <x v="92"/>
    </i>
    <i r="4">
      <x v="17"/>
    </i>
    <i r="5">
      <x v="159"/>
    </i>
    <i r="1">
      <x v="30"/>
    </i>
    <i r="2">
      <x v="2"/>
    </i>
    <i r="3">
      <x v="4"/>
    </i>
    <i r="4">
      <x v="18"/>
    </i>
    <i r="5">
      <x v="95"/>
    </i>
    <i r="5">
      <x v="160"/>
    </i>
    <i r="1">
      <x v="31"/>
    </i>
    <i r="2">
      <x v="2"/>
    </i>
    <i r="3">
      <x v="4"/>
    </i>
    <i r="4">
      <x v="1"/>
    </i>
    <i r="5">
      <x v="187"/>
    </i>
    <i r="4">
      <x v="2"/>
    </i>
    <i r="5">
      <x v="227"/>
    </i>
    <i r="4">
      <x v="3"/>
    </i>
    <i r="5">
      <x v="106"/>
    </i>
    <i r="4">
      <x v="7"/>
    </i>
    <i r="5">
      <x v="218"/>
    </i>
    <i r="4">
      <x v="8"/>
    </i>
    <i r="5">
      <x v="106"/>
    </i>
    <i r="4">
      <x v="12"/>
    </i>
    <i r="5">
      <x v="106"/>
    </i>
    <i r="4">
      <x v="16"/>
    </i>
    <i r="5">
      <x v="106"/>
    </i>
    <i r="5">
      <x v="173"/>
    </i>
    <i r="5">
      <x v="228"/>
    </i>
    <i r="1">
      <x v="32"/>
    </i>
    <i r="2">
      <x v="2"/>
    </i>
    <i r="3">
      <x v="4"/>
    </i>
    <i r="4">
      <x v="16"/>
    </i>
    <i r="5">
      <x v="107"/>
    </i>
    <i r="1">
      <x v="33"/>
    </i>
    <i r="2">
      <x v="2"/>
    </i>
    <i r="3">
      <x v="4"/>
    </i>
    <i r="4">
      <x/>
    </i>
    <i r="5">
      <x v="251"/>
    </i>
    <i r="4">
      <x v="18"/>
    </i>
    <i r="5">
      <x v="109"/>
    </i>
    <i r="1">
      <x v="41"/>
    </i>
    <i r="2">
      <x v="2"/>
    </i>
    <i r="3">
      <x v="4"/>
    </i>
    <i r="4">
      <x v="17"/>
    </i>
    <i r="5">
      <x v="158"/>
    </i>
    <i r="1">
      <x v="43"/>
    </i>
    <i r="2">
      <x v="2"/>
    </i>
    <i r="3">
      <x v="4"/>
    </i>
    <i r="4">
      <x v="3"/>
    </i>
    <i r="5">
      <x v="219"/>
    </i>
    <i>
      <x v="2"/>
    </i>
    <i r="1">
      <x v="2"/>
    </i>
    <i r="2">
      <x v="2"/>
    </i>
    <i r="3">
      <x v="4"/>
    </i>
    <i r="4">
      <x v="9"/>
    </i>
    <i r="5">
      <x v="142"/>
    </i>
    <i r="4">
      <x v="13"/>
    </i>
    <i r="5">
      <x v="3"/>
    </i>
    <i r="5">
      <x v="4"/>
    </i>
    <i r="4">
      <x v="15"/>
    </i>
    <i r="5">
      <x v="2"/>
    </i>
    <i r="1">
      <x v="13"/>
    </i>
    <i r="2">
      <x v="2"/>
    </i>
    <i r="3">
      <x v="4"/>
    </i>
    <i r="4">
      <x v="1"/>
    </i>
    <i r="5">
      <x v="232"/>
    </i>
    <i r="4">
      <x v="15"/>
    </i>
    <i r="5">
      <x v="39"/>
    </i>
    <i r="1">
      <x v="20"/>
    </i>
    <i r="2">
      <x v="2"/>
    </i>
    <i r="3">
      <x v="4"/>
    </i>
    <i r="4">
      <x v="13"/>
    </i>
    <i r="5">
      <x v="52"/>
    </i>
    <i r="4">
      <x v="16"/>
    </i>
    <i r="5">
      <x v="255"/>
    </i>
    <i r="1">
      <x v="27"/>
    </i>
    <i r="2">
      <x v="2"/>
    </i>
    <i r="3">
      <x v="4"/>
    </i>
    <i r="4">
      <x/>
    </i>
    <i r="5">
      <x v="177"/>
    </i>
    <i r="4">
      <x v="3"/>
    </i>
    <i r="5">
      <x v="215"/>
    </i>
    <i r="5">
      <x v="260"/>
    </i>
    <i r="5">
      <x v="274"/>
    </i>
    <i r="4">
      <x v="4"/>
    </i>
    <i r="5">
      <x v="129"/>
    </i>
    <i r="4">
      <x v="5"/>
    </i>
    <i r="5">
      <x v="258"/>
    </i>
    <i r="4">
      <x v="8"/>
    </i>
    <i r="5">
      <x v="130"/>
    </i>
    <i r="5">
      <x v="259"/>
    </i>
    <i r="4">
      <x v="12"/>
    </i>
    <i r="5">
      <x v="209"/>
    </i>
    <i r="4">
      <x v="14"/>
    </i>
    <i r="5">
      <x v="145"/>
    </i>
    <i r="4">
      <x v="16"/>
    </i>
    <i r="5">
      <x v="89"/>
    </i>
    <i r="4">
      <x v="17"/>
    </i>
    <i r="5">
      <x v="151"/>
    </i>
    <i r="5">
      <x v="224"/>
    </i>
    <i r="4">
      <x v="18"/>
    </i>
    <i r="5">
      <x v="90"/>
    </i>
    <i r="5">
      <x v="153"/>
    </i>
    <i r="5">
      <x v="175"/>
    </i>
    <i r="5">
      <x v="261"/>
    </i>
    <i r="4">
      <x v="19"/>
    </i>
    <i r="5">
      <x v="143"/>
    </i>
    <i r="1">
      <x v="39"/>
    </i>
    <i r="2">
      <x v="2"/>
    </i>
    <i r="3">
      <x v="4"/>
    </i>
    <i r="4">
      <x/>
    </i>
    <i r="5">
      <x v="233"/>
    </i>
    <i r="4">
      <x v="7"/>
    </i>
    <i r="5">
      <x v="133"/>
    </i>
    <i>
      <x v="3"/>
    </i>
    <i r="1">
      <x v="4"/>
    </i>
    <i r="2">
      <x v="2"/>
    </i>
    <i r="3">
      <x v="4"/>
    </i>
    <i r="4">
      <x v="11"/>
    </i>
    <i r="5">
      <x v="20"/>
    </i>
    <i r="4">
      <x v="18"/>
    </i>
    <i r="5">
      <x v="18"/>
    </i>
    <i r="4">
      <x v="19"/>
    </i>
    <i r="5">
      <x v="19"/>
    </i>
    <i r="1">
      <x v="5"/>
    </i>
    <i r="2">
      <x v="2"/>
    </i>
    <i r="3">
      <x v="4"/>
    </i>
    <i r="4">
      <x/>
    </i>
    <i r="5">
      <x v="280"/>
    </i>
    <i r="4">
      <x v="1"/>
    </i>
    <i r="5">
      <x v="281"/>
    </i>
    <i r="5">
      <x v="282"/>
    </i>
    <i r="5">
      <x v="283"/>
    </i>
    <i r="4">
      <x v="2"/>
    </i>
    <i r="5">
      <x v="110"/>
    </i>
    <i r="5">
      <x v="113"/>
    </i>
    <i r="4">
      <x v="4"/>
    </i>
    <i r="5">
      <x v="22"/>
    </i>
    <i r="4">
      <x v="5"/>
    </i>
    <i r="5">
      <x v="75"/>
    </i>
    <i r="4">
      <x v="11"/>
    </i>
    <i r="5">
      <x v="21"/>
    </i>
    <i r="5">
      <x v="46"/>
    </i>
    <i r="4">
      <x v="18"/>
    </i>
    <i r="5">
      <x v="56"/>
    </i>
    <i r="1">
      <x v="8"/>
    </i>
    <i r="2">
      <x v="2"/>
    </i>
    <i r="3">
      <x v="4"/>
    </i>
    <i r="4">
      <x v="13"/>
    </i>
    <i r="5">
      <x v="28"/>
    </i>
    <i r="4">
      <x v="19"/>
    </i>
    <i r="5">
      <x v="37"/>
    </i>
    <i r="1">
      <x v="9"/>
    </i>
    <i r="2">
      <x v="2"/>
    </i>
    <i r="3">
      <x v="4"/>
    </i>
    <i r="4">
      <x v="1"/>
    </i>
    <i r="5">
      <x v="30"/>
    </i>
    <i r="4">
      <x v="3"/>
    </i>
    <i r="5">
      <x v="237"/>
    </i>
    <i r="1">
      <x v="14"/>
    </i>
    <i r="2">
      <x v="2"/>
    </i>
    <i r="3">
      <x v="4"/>
    </i>
    <i r="4">
      <x/>
    </i>
    <i r="5">
      <x v="40"/>
    </i>
    <i r="5">
      <x v="180"/>
    </i>
    <i r="4">
      <x v="4"/>
    </i>
    <i r="5">
      <x v="178"/>
    </i>
    <i r="4">
      <x v="6"/>
    </i>
    <i r="5">
      <x v="168"/>
    </i>
    <i r="4">
      <x v="7"/>
    </i>
    <i r="5">
      <x v="138"/>
    </i>
    <i r="4">
      <x v="10"/>
    </i>
    <i r="5">
      <x v="147"/>
    </i>
    <i r="4">
      <x v="13"/>
    </i>
    <i r="5">
      <x v="179"/>
    </i>
    <i r="4">
      <x v="14"/>
    </i>
    <i r="5">
      <x v="154"/>
    </i>
    <i r="1">
      <x v="17"/>
    </i>
    <i r="2">
      <x v="2"/>
    </i>
    <i r="3">
      <x v="4"/>
    </i>
    <i r="4">
      <x/>
    </i>
    <i r="5">
      <x v="181"/>
    </i>
    <i r="5">
      <x v="223"/>
    </i>
    <i r="4">
      <x v="1"/>
    </i>
    <i r="5">
      <x v="174"/>
    </i>
    <i r="4">
      <x v="2"/>
    </i>
    <i r="5">
      <x v="161"/>
    </i>
    <i r="5">
      <x v="221"/>
    </i>
    <i r="4">
      <x v="4"/>
    </i>
    <i r="5">
      <x v="162"/>
    </i>
    <i r="4">
      <x v="5"/>
    </i>
    <i r="5">
      <x v="207"/>
    </i>
    <i r="4">
      <x v="6"/>
    </i>
    <i r="5">
      <x v="77"/>
    </i>
    <i r="4">
      <x v="7"/>
    </i>
    <i r="5">
      <x v="137"/>
    </i>
    <i r="4">
      <x v="8"/>
    </i>
    <i r="5">
      <x v="45"/>
    </i>
    <i r="5">
      <x v="136"/>
    </i>
    <i r="5">
      <x v="140"/>
    </i>
    <i r="5">
      <x v="141"/>
    </i>
    <i r="5">
      <x v="254"/>
    </i>
    <i r="4">
      <x v="9"/>
    </i>
    <i r="5">
      <x v="139"/>
    </i>
    <i r="5">
      <x v="245"/>
    </i>
    <i r="4">
      <x v="11"/>
    </i>
    <i r="5">
      <x v="150"/>
    </i>
    <i r="5">
      <x v="212"/>
    </i>
    <i r="4">
      <x v="12"/>
    </i>
    <i r="5">
      <x v="182"/>
    </i>
    <i r="5">
      <x v="213"/>
    </i>
    <i r="4">
      <x v="13"/>
    </i>
    <i r="5">
      <x v="152"/>
    </i>
    <i r="5">
      <x v="172"/>
    </i>
    <i r="4">
      <x v="15"/>
    </i>
    <i r="5">
      <x v="210"/>
    </i>
    <i r="5">
      <x v="211"/>
    </i>
    <i r="5">
      <x v="214"/>
    </i>
    <i r="5">
      <x v="275"/>
    </i>
    <i r="4">
      <x v="17"/>
    </i>
    <i r="5">
      <x v="257"/>
    </i>
    <i r="4">
      <x v="19"/>
    </i>
    <i r="5">
      <x v="184"/>
    </i>
    <i r="5">
      <x v="185"/>
    </i>
    <i r="5">
      <x v="225"/>
    </i>
    <i r="5">
      <x v="226"/>
    </i>
    <i r="1">
      <x v="21"/>
    </i>
    <i r="2">
      <x v="2"/>
    </i>
    <i r="3">
      <x v="4"/>
    </i>
    <i r="4">
      <x v="2"/>
    </i>
    <i r="5">
      <x v="60"/>
    </i>
    <i r="5">
      <x v="61"/>
    </i>
    <i r="4">
      <x v="4"/>
    </i>
    <i r="5">
      <x v="68"/>
    </i>
    <i r="5">
      <x v="118"/>
    </i>
    <i r="4">
      <x v="6"/>
    </i>
    <i r="5">
      <x v="167"/>
    </i>
    <i r="5">
      <x v="243"/>
    </i>
    <i r="4">
      <x v="12"/>
    </i>
    <i r="5">
      <x v="117"/>
    </i>
    <i r="1">
      <x v="23"/>
    </i>
    <i r="2">
      <x v="2"/>
    </i>
    <i r="3">
      <x v="4"/>
    </i>
    <i r="4">
      <x v="3"/>
    </i>
    <i r="5">
      <x v="66"/>
    </i>
    <i r="4">
      <x v="8"/>
    </i>
    <i r="5">
      <x v="134"/>
    </i>
    <i r="4">
      <x v="12"/>
    </i>
    <i r="5">
      <x v="176"/>
    </i>
    <i r="4">
      <x v="13"/>
    </i>
    <i r="5">
      <x v="189"/>
    </i>
    <i r="1">
      <x v="28"/>
    </i>
    <i r="2">
      <x v="2"/>
    </i>
    <i r="3">
      <x v="4"/>
    </i>
    <i r="4">
      <x v="1"/>
    </i>
    <i r="5">
      <x v="91"/>
    </i>
    <i r="1">
      <x v="34"/>
    </i>
    <i r="2">
      <x v="2"/>
    </i>
    <i r="3">
      <x v="4"/>
    </i>
    <i r="4">
      <x v="1"/>
    </i>
    <i r="5">
      <x v="111"/>
    </i>
    <i r="4">
      <x v="6"/>
    </i>
    <i r="5">
      <x v="252"/>
    </i>
    <i r="4">
      <x v="7"/>
    </i>
    <i r="5">
      <x v="112"/>
    </i>
    <i r="1">
      <x v="35"/>
    </i>
    <i r="2">
      <x v="2"/>
    </i>
    <i r="3">
      <x v="4"/>
    </i>
    <i r="4">
      <x v="5"/>
    </i>
    <i r="5">
      <x v="114"/>
    </i>
    <i r="5">
      <x v="115"/>
    </i>
    <i r="5">
      <x v="119"/>
    </i>
    <i r="5">
      <x v="273"/>
    </i>
    <i r="4">
      <x v="13"/>
    </i>
    <i r="5">
      <x v="273"/>
    </i>
    <i r="1">
      <x v="36"/>
    </i>
    <i r="2">
      <x v="2"/>
    </i>
    <i r="3">
      <x v="4"/>
    </i>
    <i r="4">
      <x v="1"/>
    </i>
    <i r="5">
      <x v="120"/>
    </i>
    <i r="4">
      <x v="2"/>
    </i>
    <i r="5">
      <x v="205"/>
    </i>
    <i r="4">
      <x v="8"/>
    </i>
    <i r="5">
      <x v="116"/>
    </i>
    <i r="4">
      <x v="9"/>
    </i>
    <i r="5">
      <x v="253"/>
    </i>
    <i r="4">
      <x v="16"/>
    </i>
    <i r="5">
      <x v="121"/>
    </i>
    <i r="1">
      <x v="37"/>
    </i>
    <i r="2">
      <x v="2"/>
    </i>
    <i r="3">
      <x v="4"/>
    </i>
    <i r="4">
      <x/>
    </i>
    <i r="5">
      <x v="124"/>
    </i>
    <i r="4">
      <x v="1"/>
    </i>
    <i r="5">
      <x v="123"/>
    </i>
    <i r="4">
      <x v="3"/>
    </i>
    <i r="5">
      <x v="125"/>
    </i>
    <i r="4">
      <x v="13"/>
    </i>
    <i r="5">
      <x v="193"/>
    </i>
    <i r="4">
      <x v="17"/>
    </i>
    <i r="5">
      <x v="155"/>
    </i>
    <i r="1">
      <x v="38"/>
    </i>
    <i r="2">
      <x v="2"/>
    </i>
    <i r="3">
      <x v="4"/>
    </i>
    <i r="4">
      <x v="5"/>
    </i>
    <i r="5">
      <x v="165"/>
    </i>
    <i r="4">
      <x v="7"/>
    </i>
    <i r="5">
      <x v="131"/>
    </i>
    <i r="4">
      <x v="8"/>
    </i>
    <i r="5">
      <x v="135"/>
    </i>
    <i r="4">
      <x v="13"/>
    </i>
    <i r="5">
      <x v="156"/>
    </i>
    <i r="4">
      <x v="16"/>
    </i>
    <i r="5">
      <x v="256"/>
    </i>
    <i r="1">
      <x v="40"/>
    </i>
    <i r="2">
      <x v="2"/>
    </i>
    <i r="3">
      <x v="4"/>
    </i>
    <i r="4">
      <x v="4"/>
    </i>
    <i r="5">
      <x v="166"/>
    </i>
    <i r="4">
      <x v="5"/>
    </i>
    <i r="5">
      <x v="247"/>
    </i>
    <i r="4">
      <x v="12"/>
    </i>
    <i r="5">
      <x v="148"/>
    </i>
    <i r="1">
      <x v="42"/>
    </i>
    <i r="2">
      <x v="2"/>
    </i>
    <i r="3">
      <x v="4"/>
    </i>
    <i r="4">
      <x v="5"/>
    </i>
    <i r="5">
      <x v="217"/>
    </i>
    <i r="4">
      <x v="15"/>
    </i>
    <i r="5">
      <x v="241"/>
    </i>
    <i r="4">
      <x v="19"/>
    </i>
    <i r="5">
      <x v="262"/>
    </i>
    <i r="1">
      <x v="48"/>
    </i>
    <i r="2">
      <x v="2"/>
    </i>
    <i r="3">
      <x v="4"/>
    </i>
    <i r="4">
      <x v="11"/>
    </i>
    <i r="5">
      <x v="279"/>
    </i>
    <i r="5">
      <x v="284"/>
    </i>
    <i r="4">
      <x v="16"/>
    </i>
    <i r="5">
      <x v="278"/>
    </i>
    <i>
      <x v="4"/>
    </i>
    <i r="1">
      <x v="7"/>
    </i>
    <i r="2">
      <x v="2"/>
    </i>
    <i r="3">
      <x v="4"/>
    </i>
    <i r="4">
      <x v="4"/>
    </i>
    <i r="5">
      <x v="102"/>
    </i>
    <i r="4">
      <x v="8"/>
    </i>
    <i r="5">
      <x v="99"/>
    </i>
    <i r="4">
      <x v="9"/>
    </i>
    <i r="5">
      <x v="101"/>
    </i>
    <i r="4">
      <x v="11"/>
    </i>
    <i r="5">
      <x v="101"/>
    </i>
    <i r="4">
      <x v="16"/>
    </i>
    <i r="5">
      <x v="100"/>
    </i>
    <i r="4">
      <x v="18"/>
    </i>
    <i r="5">
      <x v="27"/>
    </i>
    <i r="1">
      <x v="44"/>
    </i>
    <i r="2">
      <x v="2"/>
    </i>
    <i r="3">
      <x v="4"/>
    </i>
    <i r="4">
      <x v="9"/>
    </i>
    <i r="5">
      <x v="220"/>
    </i>
    <i r="4">
      <x v="16"/>
    </i>
    <i r="5">
      <x v="246"/>
    </i>
    <i>
      <x v="5"/>
    </i>
    <i r="1">
      <x v="18"/>
    </i>
    <i r="2">
      <x v="2"/>
    </i>
    <i r="3">
      <x v="4"/>
    </i>
    <i r="4">
      <x v="3"/>
    </i>
    <i r="5">
      <x v="268"/>
    </i>
    <i r="4">
      <x v="4"/>
    </i>
    <i r="5">
      <x v="196"/>
    </i>
    <i r="5">
      <x v="197"/>
    </i>
    <i r="5">
      <x v="199"/>
    </i>
    <i r="4">
      <x v="5"/>
    </i>
    <i r="5">
      <x v="198"/>
    </i>
    <i r="5">
      <x v="200"/>
    </i>
    <i r="4">
      <x v="6"/>
    </i>
    <i r="5">
      <x v="204"/>
    </i>
    <i r="5">
      <x v="269"/>
    </i>
    <i r="5">
      <x v="270"/>
    </i>
    <i r="4">
      <x v="9"/>
    </i>
    <i r="5">
      <x v="49"/>
    </i>
    <i r="5">
      <x v="144"/>
    </i>
    <i r="4">
      <x v="10"/>
    </i>
    <i r="5">
      <x v="264"/>
    </i>
    <i r="5">
      <x v="266"/>
    </i>
    <i r="4">
      <x v="13"/>
    </i>
    <i r="5">
      <x v="194"/>
    </i>
    <i r="5">
      <x v="195"/>
    </i>
    <i r="5">
      <x v="265"/>
    </i>
    <i r="5">
      <x v="271"/>
    </i>
    <i r="4">
      <x v="14"/>
    </i>
    <i r="5">
      <x v="157"/>
    </i>
    <i r="5">
      <x v="267"/>
    </i>
    <i r="4">
      <x v="16"/>
    </i>
    <i r="5">
      <x v="201"/>
    </i>
    <i r="4">
      <x v="17"/>
    </i>
    <i r="5">
      <x v="186"/>
    </i>
    <i r="4">
      <x v="19"/>
    </i>
    <i r="5">
      <x v="202"/>
    </i>
    <i r="5">
      <x v="203"/>
    </i>
    <i r="5">
      <x v="272"/>
    </i>
    <i t="grand">
      <x/>
    </i>
  </rowItems>
  <colItems count="1">
    <i/>
  </colItems>
  <pageFields count="9">
    <pageField fld="0" hier="-1"/>
    <pageField fld="11" hier="-1"/>
    <pageField fld="29" hier="-1"/>
    <pageField fld="30" hier="-1"/>
    <pageField fld="32" hier="-1"/>
    <pageField fld="33" hier="-1"/>
    <pageField fld="31" hier="-1"/>
    <pageField fld="34" hier="-1"/>
    <pageField fld="41" hier="-1"/>
  </pageFields>
  <dataFields count="1">
    <dataField name="# requests" fld="3" subtotal="count" baseField="4" baseItem="0"/>
  </dataFields>
  <formats count="2">
    <format dxfId="48">
      <pivotArea field="31" type="button" dataOnly="0" labelOnly="1" outline="0" axis="axisPage" fieldPosition="6"/>
    </format>
    <format dxfId="47">
      <pivotArea field="29" type="button" dataOnly="0" labelOnly="1" outline="0" axis="axisPage" fieldPosition="2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C9:D323" firstHeaderRow="1" firstDataRow="1" firstDataCol="1" rowPageCount="7" colPageCount="1"/>
  <pivotFields count="47"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 defaultSubtotal="0"/>
    <pivotField axis="axisRow" showAll="0">
      <items count="28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axis="axisRow" numFmtId="14" showAll="0">
      <items count="21">
        <item x="8"/>
        <item x="15"/>
        <item x="18"/>
        <item x="11"/>
        <item x="12"/>
        <item x="19"/>
        <item x="3"/>
        <item x="5"/>
        <item x="4"/>
        <item x="16"/>
        <item x="6"/>
        <item x="7"/>
        <item x="17"/>
        <item x="2"/>
        <item x="9"/>
        <item x="1"/>
        <item x="10"/>
        <item x="0"/>
        <item x="13"/>
        <item x="14"/>
        <item t="default"/>
      </items>
    </pivotField>
    <pivotField showAll="0"/>
    <pivotField showAll="0" defaultSubtotal="0"/>
    <pivotField showAll="0" defaultSubtotal="0"/>
    <pivotField showAll="0"/>
    <pivotField axis="axisPage" showAll="0" defaultSubtotal="0">
      <items count="2">
        <item x="0"/>
        <item x="1"/>
      </items>
    </pivotField>
    <pivotField showAll="0"/>
    <pivotField axis="axisPage" multipleItemSelectionAllowed="1" showAll="0" sortType="ascending">
      <items count="3">
        <item x="0"/>
        <item x="1"/>
        <item t="default"/>
      </items>
    </pivotField>
    <pivotField axis="axisPage" multipleItemSelectionAllowed="1" showAll="0">
      <items count="3">
        <item x="0"/>
        <item x="1"/>
        <item t="default"/>
      </items>
    </pivotField>
    <pivotField axis="axisPage" multipleItemSelectionAllowed="1" showAll="0">
      <items count="3">
        <item x="0"/>
        <item x="1"/>
        <item t="default"/>
      </items>
    </pivotField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/>
    <pivotField showAll="0" defaultSubtota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 defaultSubtotal="0"/>
    <pivotField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4">
    <field x="46"/>
    <field x="45"/>
    <field x="22"/>
    <field x="7"/>
  </rowFields>
  <rowItems count="314">
    <i>
      <x v="2"/>
    </i>
    <i r="1">
      <x v="4"/>
    </i>
    <i r="2">
      <x/>
    </i>
    <i r="3">
      <x v="9"/>
    </i>
    <i r="3">
      <x v="29"/>
    </i>
    <i r="3">
      <x v="40"/>
    </i>
    <i r="3">
      <x v="92"/>
    </i>
    <i r="3">
      <x v="97"/>
    </i>
    <i r="3">
      <x v="103"/>
    </i>
    <i r="3">
      <x v="104"/>
    </i>
    <i r="3">
      <x v="124"/>
    </i>
    <i r="3">
      <x v="128"/>
    </i>
    <i r="3">
      <x v="177"/>
    </i>
    <i r="3">
      <x v="180"/>
    </i>
    <i r="3">
      <x v="181"/>
    </i>
    <i r="3">
      <x v="183"/>
    </i>
    <i r="3">
      <x v="223"/>
    </i>
    <i r="3">
      <x v="233"/>
    </i>
    <i r="3">
      <x v="242"/>
    </i>
    <i r="3">
      <x v="251"/>
    </i>
    <i r="3">
      <x v="280"/>
    </i>
    <i r="2">
      <x v="1"/>
    </i>
    <i r="3">
      <x v="30"/>
    </i>
    <i r="3">
      <x v="51"/>
    </i>
    <i r="3">
      <x v="81"/>
    </i>
    <i r="3">
      <x v="91"/>
    </i>
    <i r="3">
      <x v="98"/>
    </i>
    <i r="3">
      <x v="111"/>
    </i>
    <i r="3">
      <x v="120"/>
    </i>
    <i r="3">
      <x v="123"/>
    </i>
    <i r="3">
      <x v="170"/>
    </i>
    <i r="3">
      <x v="174"/>
    </i>
    <i r="3">
      <x v="187"/>
    </i>
    <i r="3">
      <x v="222"/>
    </i>
    <i r="3">
      <x v="232"/>
    </i>
    <i r="3">
      <x v="281"/>
    </i>
    <i r="3">
      <x v="282"/>
    </i>
    <i r="3">
      <x v="283"/>
    </i>
    <i r="2">
      <x v="2"/>
    </i>
    <i r="3">
      <x v="58"/>
    </i>
    <i r="3">
      <x v="59"/>
    </i>
    <i r="3">
      <x v="60"/>
    </i>
    <i r="3">
      <x v="61"/>
    </i>
    <i r="3">
      <x v="65"/>
    </i>
    <i r="3">
      <x v="69"/>
    </i>
    <i r="3">
      <x v="87"/>
    </i>
    <i r="3">
      <x v="110"/>
    </i>
    <i r="3">
      <x v="113"/>
    </i>
    <i r="3">
      <x v="161"/>
    </i>
    <i r="3">
      <x v="169"/>
    </i>
    <i r="3">
      <x v="188"/>
    </i>
    <i r="3">
      <x v="205"/>
    </i>
    <i r="3">
      <x v="216"/>
    </i>
    <i r="3">
      <x v="221"/>
    </i>
    <i r="3">
      <x v="227"/>
    </i>
    <i r="2">
      <x v="3"/>
    </i>
    <i r="3">
      <x v="14"/>
    </i>
    <i r="3">
      <x v="41"/>
    </i>
    <i r="3">
      <x v="66"/>
    </i>
    <i r="3">
      <x v="67"/>
    </i>
    <i r="3">
      <x v="85"/>
    </i>
    <i r="3">
      <x v="106"/>
    </i>
    <i r="3">
      <x v="125"/>
    </i>
    <i r="3">
      <x v="215"/>
    </i>
    <i r="3">
      <x v="219"/>
    </i>
    <i r="3">
      <x v="237"/>
    </i>
    <i r="3">
      <x v="249"/>
    </i>
    <i r="3">
      <x v="250"/>
    </i>
    <i r="3">
      <x v="260"/>
    </i>
    <i r="3">
      <x v="268"/>
    </i>
    <i r="3">
      <x v="274"/>
    </i>
    <i r="2">
      <x v="4"/>
    </i>
    <i r="3">
      <x v="15"/>
    </i>
    <i r="3">
      <x v="16"/>
    </i>
    <i r="3">
      <x v="22"/>
    </i>
    <i r="3">
      <x v="23"/>
    </i>
    <i r="3">
      <x v="32"/>
    </i>
    <i r="3">
      <x v="33"/>
    </i>
    <i r="3">
      <x v="68"/>
    </i>
    <i r="3">
      <x v="70"/>
    </i>
    <i r="3">
      <x v="71"/>
    </i>
    <i r="3">
      <x v="72"/>
    </i>
    <i r="3">
      <x v="83"/>
    </i>
    <i r="3">
      <x v="102"/>
    </i>
    <i r="3">
      <x v="118"/>
    </i>
    <i r="3">
      <x v="129"/>
    </i>
    <i r="3">
      <x v="162"/>
    </i>
    <i r="3">
      <x v="163"/>
    </i>
    <i r="3">
      <x v="164"/>
    </i>
    <i r="3">
      <x v="166"/>
    </i>
    <i r="3">
      <x v="178"/>
    </i>
    <i r="3">
      <x v="190"/>
    </i>
    <i r="3">
      <x v="196"/>
    </i>
    <i r="3">
      <x v="197"/>
    </i>
    <i r="3">
      <x v="199"/>
    </i>
    <i r="2">
      <x v="5"/>
    </i>
    <i r="3">
      <x v="74"/>
    </i>
    <i r="3">
      <x v="75"/>
    </i>
    <i r="3">
      <x v="76"/>
    </i>
    <i r="3">
      <x v="114"/>
    </i>
    <i r="3">
      <x v="115"/>
    </i>
    <i r="3">
      <x v="119"/>
    </i>
    <i r="3">
      <x v="165"/>
    </i>
    <i r="3">
      <x v="198"/>
    </i>
    <i r="3">
      <x v="200"/>
    </i>
    <i r="3">
      <x v="207"/>
    </i>
    <i r="3">
      <x v="217"/>
    </i>
    <i r="3">
      <x v="236"/>
    </i>
    <i r="3">
      <x v="247"/>
    </i>
    <i r="3">
      <x v="258"/>
    </i>
    <i r="3">
      <x v="273"/>
    </i>
    <i r="2">
      <x v="6"/>
    </i>
    <i r="3">
      <x v="5"/>
    </i>
    <i r="3">
      <x v="17"/>
    </i>
    <i r="3">
      <x v="26"/>
    </i>
    <i r="3">
      <x v="73"/>
    </i>
    <i r="3">
      <x v="77"/>
    </i>
    <i r="3">
      <x v="132"/>
    </i>
    <i r="3">
      <x v="167"/>
    </i>
    <i r="3">
      <x v="168"/>
    </i>
    <i r="3">
      <x v="191"/>
    </i>
    <i r="3">
      <x v="204"/>
    </i>
    <i r="3">
      <x v="206"/>
    </i>
    <i r="3">
      <x v="243"/>
    </i>
    <i r="3">
      <x v="248"/>
    </i>
    <i r="3">
      <x v="252"/>
    </i>
    <i r="3">
      <x v="269"/>
    </i>
    <i r="3">
      <x v="270"/>
    </i>
    <i r="2">
      <x v="7"/>
    </i>
    <i r="3">
      <x v="6"/>
    </i>
    <i r="3">
      <x v="42"/>
    </i>
    <i r="3">
      <x v="82"/>
    </i>
    <i r="3">
      <x v="84"/>
    </i>
    <i r="3">
      <x v="112"/>
    </i>
    <i r="3">
      <x v="131"/>
    </i>
    <i r="3">
      <x v="133"/>
    </i>
    <i r="3">
      <x v="137"/>
    </i>
    <i r="3">
      <x v="138"/>
    </i>
    <i r="3">
      <x v="218"/>
    </i>
    <i r="3">
      <x v="229"/>
    </i>
    <i r="2">
      <x v="8"/>
    </i>
    <i r="3">
      <x v="6"/>
    </i>
    <i r="3">
      <x v="24"/>
    </i>
    <i r="3">
      <x v="34"/>
    </i>
    <i r="3">
      <x v="43"/>
    </i>
    <i r="3">
      <x v="45"/>
    </i>
    <i r="3">
      <x v="99"/>
    </i>
    <i r="3">
      <x v="106"/>
    </i>
    <i r="3">
      <x v="116"/>
    </i>
    <i r="3">
      <x v="122"/>
    </i>
    <i r="3">
      <x v="130"/>
    </i>
    <i r="3">
      <x v="134"/>
    </i>
    <i r="3">
      <x v="135"/>
    </i>
    <i r="3">
      <x v="136"/>
    </i>
    <i r="3">
      <x v="140"/>
    </i>
    <i r="3">
      <x v="141"/>
    </i>
    <i r="3">
      <x v="234"/>
    </i>
    <i r="3">
      <x v="244"/>
    </i>
    <i r="3">
      <x v="254"/>
    </i>
    <i r="3">
      <x v="259"/>
    </i>
    <i r="3">
      <x v="263"/>
    </i>
    <i r="2">
      <x v="9"/>
    </i>
    <i r="3">
      <x v="44"/>
    </i>
    <i r="3">
      <x v="47"/>
    </i>
    <i r="3">
      <x v="49"/>
    </i>
    <i r="3">
      <x v="101"/>
    </i>
    <i r="3">
      <x v="108"/>
    </i>
    <i r="3">
      <x v="139"/>
    </i>
    <i r="3">
      <x v="142"/>
    </i>
    <i r="3">
      <x v="144"/>
    </i>
    <i r="3">
      <x v="192"/>
    </i>
    <i r="3">
      <x v="220"/>
    </i>
    <i r="3">
      <x v="245"/>
    </i>
    <i r="3">
      <x v="253"/>
    </i>
    <i r="2">
      <x v="10"/>
    </i>
    <i r="3">
      <x v="7"/>
    </i>
    <i r="3">
      <x v="48"/>
    </i>
    <i r="3">
      <x v="146"/>
    </i>
    <i r="3">
      <x v="147"/>
    </i>
    <i r="3">
      <x v="264"/>
    </i>
    <i r="3">
      <x v="266"/>
    </i>
    <i r="2">
      <x v="11"/>
    </i>
    <i r="3">
      <x v="8"/>
    </i>
    <i r="3">
      <x v="20"/>
    </i>
    <i r="3">
      <x v="21"/>
    </i>
    <i r="3">
      <x v="38"/>
    </i>
    <i r="3">
      <x v="46"/>
    </i>
    <i r="3">
      <x v="101"/>
    </i>
    <i r="3">
      <x v="150"/>
    </i>
    <i r="3">
      <x v="212"/>
    </i>
    <i r="3">
      <x v="279"/>
    </i>
    <i r="3">
      <x v="284"/>
    </i>
    <i r="2">
      <x v="12"/>
    </i>
    <i r="3">
      <x v="50"/>
    </i>
    <i r="3">
      <x v="78"/>
    </i>
    <i r="3">
      <x v="80"/>
    </i>
    <i r="3">
      <x v="106"/>
    </i>
    <i r="3">
      <x v="117"/>
    </i>
    <i r="3">
      <x v="126"/>
    </i>
    <i r="3">
      <x v="148"/>
    </i>
    <i r="3">
      <x v="149"/>
    </i>
    <i r="3">
      <x v="176"/>
    </i>
    <i r="3">
      <x v="182"/>
    </i>
    <i r="3">
      <x v="209"/>
    </i>
    <i r="3">
      <x v="213"/>
    </i>
    <i r="2">
      <x v="13"/>
    </i>
    <i r="3">
      <x v="3"/>
    </i>
    <i r="3">
      <x v="4"/>
    </i>
    <i r="3">
      <x v="10"/>
    </i>
    <i r="3">
      <x v="11"/>
    </i>
    <i r="3">
      <x v="25"/>
    </i>
    <i r="3">
      <x v="28"/>
    </i>
    <i r="3">
      <x v="52"/>
    </i>
    <i r="3">
      <x v="152"/>
    </i>
    <i r="3">
      <x v="156"/>
    </i>
    <i r="3">
      <x v="172"/>
    </i>
    <i r="3">
      <x v="179"/>
    </i>
    <i r="3">
      <x v="189"/>
    </i>
    <i r="3">
      <x v="193"/>
    </i>
    <i r="3">
      <x v="194"/>
    </i>
    <i r="3">
      <x v="195"/>
    </i>
    <i r="3">
      <x v="230"/>
    </i>
    <i r="3">
      <x v="238"/>
    </i>
    <i r="3">
      <x v="265"/>
    </i>
    <i r="3">
      <x v="271"/>
    </i>
    <i r="3">
      <x v="273"/>
    </i>
    <i r="2">
      <x v="14"/>
    </i>
    <i r="3">
      <x v="12"/>
    </i>
    <i r="3">
      <x v="53"/>
    </i>
    <i r="3">
      <x v="79"/>
    </i>
    <i r="3">
      <x v="145"/>
    </i>
    <i r="3">
      <x v="154"/>
    </i>
    <i r="3">
      <x v="157"/>
    </i>
    <i r="3">
      <x v="267"/>
    </i>
    <i r="2">
      <x v="15"/>
    </i>
    <i r="3">
      <x v="1"/>
    </i>
    <i r="3">
      <x v="2"/>
    </i>
    <i r="3">
      <x v="35"/>
    </i>
    <i r="3">
      <x v="39"/>
    </i>
    <i r="3">
      <x v="57"/>
    </i>
    <i r="3">
      <x v="208"/>
    </i>
    <i r="3">
      <x v="210"/>
    </i>
    <i r="3">
      <x v="211"/>
    </i>
    <i r="3">
      <x v="214"/>
    </i>
    <i r="3">
      <x v="241"/>
    </i>
    <i r="3">
      <x v="275"/>
    </i>
    <i r="3">
      <x v="277"/>
    </i>
    <i r="2">
      <x v="16"/>
    </i>
    <i r="3">
      <x v="13"/>
    </i>
    <i r="3">
      <x v="88"/>
    </i>
    <i r="3">
      <x v="89"/>
    </i>
    <i r="3">
      <x v="94"/>
    </i>
    <i r="3">
      <x v="96"/>
    </i>
    <i r="3">
      <x v="100"/>
    </i>
    <i r="3">
      <x v="106"/>
    </i>
    <i r="3">
      <x v="107"/>
    </i>
    <i r="3">
      <x v="121"/>
    </i>
    <i r="3">
      <x v="173"/>
    </i>
    <i r="3">
      <x v="201"/>
    </i>
    <i r="3">
      <x v="228"/>
    </i>
    <i r="3">
      <x v="235"/>
    </i>
    <i r="3">
      <x v="240"/>
    </i>
    <i r="3">
      <x v="246"/>
    </i>
    <i r="3">
      <x v="255"/>
    </i>
    <i r="3">
      <x v="256"/>
    </i>
    <i r="3">
      <x v="278"/>
    </i>
    <i r="2">
      <x v="17"/>
    </i>
    <i r="3">
      <x/>
    </i>
    <i r="3">
      <x v="86"/>
    </i>
    <i r="3">
      <x v="93"/>
    </i>
    <i r="3">
      <x v="127"/>
    </i>
    <i r="3">
      <x v="151"/>
    </i>
    <i r="3">
      <x v="155"/>
    </i>
    <i r="3">
      <x v="158"/>
    </i>
    <i r="3">
      <x v="159"/>
    </i>
    <i r="3">
      <x v="171"/>
    </i>
    <i r="3">
      <x v="186"/>
    </i>
    <i r="3">
      <x v="224"/>
    </i>
    <i r="3">
      <x v="257"/>
    </i>
    <i r="3">
      <x v="276"/>
    </i>
    <i r="2">
      <x v="18"/>
    </i>
    <i r="3">
      <x v="18"/>
    </i>
    <i r="3">
      <x v="27"/>
    </i>
    <i r="3">
      <x v="54"/>
    </i>
    <i r="3">
      <x v="56"/>
    </i>
    <i r="3">
      <x v="90"/>
    </i>
    <i r="3">
      <x v="95"/>
    </i>
    <i r="3">
      <x v="105"/>
    </i>
    <i r="3">
      <x v="109"/>
    </i>
    <i r="3">
      <x v="153"/>
    </i>
    <i r="3">
      <x v="160"/>
    </i>
    <i r="3">
      <x v="175"/>
    </i>
    <i r="3">
      <x v="261"/>
    </i>
    <i r="2">
      <x v="19"/>
    </i>
    <i r="3">
      <x v="19"/>
    </i>
    <i r="3">
      <x v="31"/>
    </i>
    <i r="3">
      <x v="36"/>
    </i>
    <i r="3">
      <x v="37"/>
    </i>
    <i r="3">
      <x v="55"/>
    </i>
    <i r="3">
      <x v="62"/>
    </i>
    <i r="3">
      <x v="63"/>
    </i>
    <i r="3">
      <x v="64"/>
    </i>
    <i r="3">
      <x v="143"/>
    </i>
    <i r="3">
      <x v="184"/>
    </i>
    <i r="3">
      <x v="185"/>
    </i>
    <i r="3">
      <x v="202"/>
    </i>
    <i r="3">
      <x v="203"/>
    </i>
    <i r="3">
      <x v="225"/>
    </i>
    <i r="3">
      <x v="226"/>
    </i>
    <i r="3">
      <x v="231"/>
    </i>
    <i r="3">
      <x v="239"/>
    </i>
    <i r="3">
      <x v="262"/>
    </i>
    <i r="3">
      <x v="272"/>
    </i>
    <i t="grand">
      <x/>
    </i>
  </rowItems>
  <colItems count="1">
    <i/>
  </colItems>
  <pageFields count="7">
    <pageField fld="27" hier="-1"/>
    <pageField fld="0" hier="-1"/>
    <pageField fld="29" hier="-1"/>
    <pageField fld="30" hier="-1"/>
    <pageField fld="31" hier="-1"/>
    <pageField fld="34" hier="-1"/>
    <pageField fld="41" hier="-1"/>
  </pageFields>
  <dataFields count="1">
    <dataField name="# requests" fld="3" subtotal="count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B4:D540" firstHeaderRow="1" firstDataRow="2" firstDataCol="1" rowPageCount="2" colPageCount="1"/>
  <pivotFields count="47"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axis="axisRow" showAll="0">
      <items count="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 sd="0"/>
      </items>
    </pivotField>
    <pivotField showAll="0"/>
    <pivotField axis="axisPage"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28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axis="axisRow" numFmtId="14" showAll="0">
      <items count="21">
        <item x="8"/>
        <item x="15"/>
        <item x="18"/>
        <item x="11"/>
        <item x="12"/>
        <item x="19"/>
        <item x="3"/>
        <item x="5"/>
        <item x="4"/>
        <item x="16"/>
        <item x="6"/>
        <item x="7"/>
        <item x="17"/>
        <item x="2"/>
        <item x="9"/>
        <item x="1"/>
        <item x="10"/>
        <item x="0"/>
        <item x="13"/>
        <item x="14"/>
        <item t="default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 defaultSubtotal="0"/>
    <pivotField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5">
    <field x="46"/>
    <field x="45"/>
    <field x="22"/>
    <field x="4"/>
    <field x="7"/>
  </rowFields>
  <rowItems count="535">
    <i>
      <x v="2"/>
    </i>
    <i r="1">
      <x v="4"/>
    </i>
    <i r="2">
      <x/>
    </i>
    <i r="3">
      <x/>
    </i>
    <i r="4">
      <x v="128"/>
    </i>
    <i r="3">
      <x v="3"/>
    </i>
    <i r="4">
      <x v="9"/>
    </i>
    <i r="3">
      <x v="5"/>
    </i>
    <i r="4">
      <x v="280"/>
    </i>
    <i r="3">
      <x v="6"/>
    </i>
    <i r="4">
      <x v="29"/>
    </i>
    <i r="3">
      <x v="10"/>
    </i>
    <i r="4">
      <x v="183"/>
    </i>
    <i r="3">
      <x v="12"/>
    </i>
    <i r="4">
      <x v="103"/>
    </i>
    <i r="4">
      <x v="104"/>
    </i>
    <i r="3">
      <x v="14"/>
    </i>
    <i r="4">
      <x v="40"/>
    </i>
    <i r="4">
      <x v="180"/>
    </i>
    <i r="3">
      <x v="17"/>
    </i>
    <i r="4">
      <x v="181"/>
    </i>
    <i r="4">
      <x v="223"/>
    </i>
    <i r="3">
      <x v="22"/>
    </i>
    <i r="4">
      <x v="242"/>
    </i>
    <i r="3">
      <x v="24"/>
    </i>
    <i r="4">
      <x v="97"/>
    </i>
    <i r="3">
      <x v="27"/>
    </i>
    <i r="4">
      <x v="177"/>
    </i>
    <i r="3">
      <x v="29"/>
    </i>
    <i r="4">
      <x v="92"/>
    </i>
    <i r="3">
      <x v="33"/>
    </i>
    <i r="4">
      <x v="251"/>
    </i>
    <i r="3">
      <x v="37"/>
    </i>
    <i r="4">
      <x v="124"/>
    </i>
    <i r="3">
      <x v="39"/>
    </i>
    <i r="4">
      <x v="233"/>
    </i>
    <i r="2">
      <x v="1"/>
    </i>
    <i r="3">
      <x v="5"/>
    </i>
    <i r="4">
      <x v="281"/>
    </i>
    <i r="4">
      <x v="282"/>
    </i>
    <i r="4">
      <x v="283"/>
    </i>
    <i r="3">
      <x v="9"/>
    </i>
    <i r="4">
      <x v="30"/>
    </i>
    <i r="3">
      <x v="10"/>
    </i>
    <i r="4">
      <x v="51"/>
    </i>
    <i r="3">
      <x v="13"/>
    </i>
    <i r="4">
      <x v="232"/>
    </i>
    <i r="3">
      <x v="17"/>
    </i>
    <i r="4">
      <x v="174"/>
    </i>
    <i r="3">
      <x v="24"/>
    </i>
    <i r="4">
      <x v="98"/>
    </i>
    <i r="4">
      <x v="222"/>
    </i>
    <i r="3">
      <x v="25"/>
    </i>
    <i r="4">
      <x v="81"/>
    </i>
    <i r="3">
      <x v="26"/>
    </i>
    <i r="4">
      <x v="170"/>
    </i>
    <i r="3">
      <x v="28"/>
    </i>
    <i r="4">
      <x v="91"/>
    </i>
    <i r="3">
      <x v="31"/>
    </i>
    <i r="4">
      <x v="187"/>
    </i>
    <i r="3">
      <x v="34"/>
    </i>
    <i r="4">
      <x v="111"/>
    </i>
    <i r="3">
      <x v="36"/>
    </i>
    <i r="4">
      <x v="120"/>
    </i>
    <i r="3">
      <x v="37"/>
    </i>
    <i r="4">
      <x v="123"/>
    </i>
    <i r="2">
      <x v="2"/>
    </i>
    <i r="3">
      <x v="1"/>
    </i>
    <i r="4">
      <x v="59"/>
    </i>
    <i r="3">
      <x v="5"/>
    </i>
    <i r="4">
      <x v="110"/>
    </i>
    <i r="4">
      <x v="113"/>
    </i>
    <i r="3">
      <x v="10"/>
    </i>
    <i r="4">
      <x v="65"/>
    </i>
    <i r="4">
      <x v="69"/>
    </i>
    <i r="3">
      <x v="15"/>
    </i>
    <i r="4">
      <x v="58"/>
    </i>
    <i r="4">
      <x v="87"/>
    </i>
    <i r="3">
      <x v="17"/>
    </i>
    <i r="4">
      <x v="161"/>
    </i>
    <i r="4">
      <x v="221"/>
    </i>
    <i r="3">
      <x v="19"/>
    </i>
    <i r="4">
      <x v="188"/>
    </i>
    <i r="3">
      <x v="21"/>
    </i>
    <i r="4">
      <x v="60"/>
    </i>
    <i r="4">
      <x v="61"/>
    </i>
    <i r="3">
      <x v="24"/>
    </i>
    <i r="4">
      <x v="216"/>
    </i>
    <i r="3">
      <x v="26"/>
    </i>
    <i r="4">
      <x v="169"/>
    </i>
    <i r="3">
      <x v="31"/>
    </i>
    <i r="4">
      <x v="227"/>
    </i>
    <i r="3">
      <x v="36"/>
    </i>
    <i r="4">
      <x v="205"/>
    </i>
    <i r="2">
      <x v="3"/>
    </i>
    <i r="3">
      <x v="3"/>
    </i>
    <i r="4">
      <x v="14"/>
    </i>
    <i r="3">
      <x v="9"/>
    </i>
    <i r="4">
      <x v="237"/>
    </i>
    <i r="3">
      <x v="15"/>
    </i>
    <i r="4">
      <x v="41"/>
    </i>
    <i r="3">
      <x v="16"/>
    </i>
    <i r="4">
      <x v="250"/>
    </i>
    <i r="3">
      <x v="18"/>
    </i>
    <i r="4">
      <x v="268"/>
    </i>
    <i r="3">
      <x v="22"/>
    </i>
    <i r="4">
      <x v="67"/>
    </i>
    <i r="4">
      <x v="85"/>
    </i>
    <i r="3">
      <x v="23"/>
    </i>
    <i r="4">
      <x v="66"/>
    </i>
    <i r="3">
      <x v="25"/>
    </i>
    <i r="4">
      <x v="249"/>
    </i>
    <i r="3">
      <x v="27"/>
    </i>
    <i r="4">
      <x v="215"/>
    </i>
    <i r="4">
      <x v="260"/>
    </i>
    <i r="4">
      <x v="274"/>
    </i>
    <i r="3">
      <x v="31"/>
    </i>
    <i r="4">
      <x v="106"/>
    </i>
    <i r="3">
      <x v="37"/>
    </i>
    <i r="4">
      <x v="125"/>
    </i>
    <i r="3">
      <x v="43"/>
    </i>
    <i r="4">
      <x v="219"/>
    </i>
    <i r="2">
      <x v="4"/>
    </i>
    <i r="3">
      <x v="1"/>
    </i>
    <i r="4">
      <x v="71"/>
    </i>
    <i r="3">
      <x v="3"/>
    </i>
    <i r="4">
      <x v="15"/>
    </i>
    <i r="4">
      <x v="16"/>
    </i>
    <i r="3">
      <x v="5"/>
    </i>
    <i r="4">
      <x v="22"/>
    </i>
    <i r="3">
      <x v="6"/>
    </i>
    <i r="4">
      <x v="23"/>
    </i>
    <i r="3">
      <x v="7"/>
    </i>
    <i r="4">
      <x v="102"/>
    </i>
    <i r="3">
      <x v="10"/>
    </i>
    <i r="4">
      <x v="72"/>
    </i>
    <i r="3">
      <x v="11"/>
    </i>
    <i r="4">
      <x v="32"/>
    </i>
    <i r="4">
      <x v="33"/>
    </i>
    <i r="4">
      <x v="190"/>
    </i>
    <i r="3">
      <x v="14"/>
    </i>
    <i r="4">
      <x v="178"/>
    </i>
    <i r="3">
      <x v="17"/>
    </i>
    <i r="4">
      <x v="162"/>
    </i>
    <i r="3">
      <x v="18"/>
    </i>
    <i r="4">
      <x v="196"/>
    </i>
    <i r="4">
      <x v="197"/>
    </i>
    <i r="4">
      <x v="199"/>
    </i>
    <i r="3">
      <x v="21"/>
    </i>
    <i r="4">
      <x v="68"/>
    </i>
    <i r="4">
      <x v="118"/>
    </i>
    <i r="3">
      <x v="22"/>
    </i>
    <i r="4">
      <x v="163"/>
    </i>
    <i r="4">
      <x v="164"/>
    </i>
    <i r="3">
      <x v="24"/>
    </i>
    <i r="4">
      <x v="70"/>
    </i>
    <i r="3">
      <x v="26"/>
    </i>
    <i r="4">
      <x v="83"/>
    </i>
    <i r="3">
      <x v="27"/>
    </i>
    <i r="4">
      <x v="129"/>
    </i>
    <i r="3">
      <x v="40"/>
    </i>
    <i r="4">
      <x v="166"/>
    </i>
    <i r="2">
      <x v="5"/>
    </i>
    <i r="3">
      <x v="1"/>
    </i>
    <i r="4">
      <x v="74"/>
    </i>
    <i r="4">
      <x v="76"/>
    </i>
    <i r="3">
      <x v="5"/>
    </i>
    <i r="4">
      <x v="75"/>
    </i>
    <i r="3">
      <x v="6"/>
    </i>
    <i r="4">
      <x v="236"/>
    </i>
    <i r="3">
      <x v="17"/>
    </i>
    <i r="4">
      <x v="207"/>
    </i>
    <i r="3">
      <x v="18"/>
    </i>
    <i r="4">
      <x v="198"/>
    </i>
    <i r="4">
      <x v="200"/>
    </i>
    <i r="3">
      <x v="27"/>
    </i>
    <i r="4">
      <x v="258"/>
    </i>
    <i r="3">
      <x v="35"/>
    </i>
    <i r="4">
      <x v="114"/>
    </i>
    <i r="4">
      <x v="115"/>
    </i>
    <i r="4">
      <x v="119"/>
    </i>
    <i r="4">
      <x v="273"/>
    </i>
    <i r="3">
      <x v="38"/>
    </i>
    <i r="4">
      <x v="165"/>
    </i>
    <i r="3">
      <x v="40"/>
    </i>
    <i r="4">
      <x v="247"/>
    </i>
    <i r="3">
      <x v="42"/>
    </i>
    <i r="4">
      <x v="217"/>
    </i>
    <i r="2">
      <x v="6"/>
    </i>
    <i r="3">
      <x v="3"/>
    </i>
    <i r="4">
      <x v="5"/>
    </i>
    <i r="4">
      <x v="17"/>
    </i>
    <i r="3">
      <x v="6"/>
    </i>
    <i r="4">
      <x v="26"/>
    </i>
    <i r="3">
      <x v="12"/>
    </i>
    <i r="4">
      <x v="191"/>
    </i>
    <i r="3">
      <x v="14"/>
    </i>
    <i r="4">
      <x v="168"/>
    </i>
    <i r="3">
      <x v="17"/>
    </i>
    <i r="4">
      <x v="77"/>
    </i>
    <i r="3">
      <x v="18"/>
    </i>
    <i r="4">
      <x v="204"/>
    </i>
    <i r="4">
      <x v="269"/>
    </i>
    <i r="4">
      <x v="270"/>
    </i>
    <i r="3">
      <x v="19"/>
    </i>
    <i r="4">
      <x v="73"/>
    </i>
    <i r="4">
      <x v="132"/>
    </i>
    <i r="3">
      <x v="21"/>
    </i>
    <i r="4">
      <x v="167"/>
    </i>
    <i r="4">
      <x v="243"/>
    </i>
    <i r="3">
      <x v="24"/>
    </i>
    <i r="4">
      <x v="206"/>
    </i>
    <i r="3">
      <x v="25"/>
    </i>
    <i r="4">
      <x v="248"/>
    </i>
    <i r="3">
      <x v="34"/>
    </i>
    <i r="4">
      <x v="252"/>
    </i>
    <i r="2">
      <x v="7"/>
    </i>
    <i r="3">
      <x v="1"/>
    </i>
    <i r="4">
      <x v="42"/>
    </i>
    <i r="3">
      <x v="3"/>
    </i>
    <i r="4">
      <x v="6"/>
    </i>
    <i r="3">
      <x v="14"/>
    </i>
    <i r="4">
      <x v="138"/>
    </i>
    <i r="3">
      <x v="17"/>
    </i>
    <i r="4">
      <x v="137"/>
    </i>
    <i r="3">
      <x v="26"/>
    </i>
    <i r="4">
      <x v="82"/>
    </i>
    <i r="4">
      <x v="84"/>
    </i>
    <i r="3">
      <x v="31"/>
    </i>
    <i r="4">
      <x v="218"/>
    </i>
    <i r="3">
      <x v="34"/>
    </i>
    <i r="4">
      <x v="112"/>
    </i>
    <i r="3">
      <x v="38"/>
    </i>
    <i r="4">
      <x v="131"/>
    </i>
    <i r="3">
      <x v="39"/>
    </i>
    <i r="4">
      <x v="133"/>
    </i>
    <i r="3">
      <x v="45"/>
    </i>
    <i r="4">
      <x v="229"/>
    </i>
    <i r="2">
      <x v="8"/>
    </i>
    <i r="3">
      <x v="3"/>
    </i>
    <i r="4">
      <x v="6"/>
    </i>
    <i r="3">
      <x v="6"/>
    </i>
    <i r="4">
      <x v="24"/>
    </i>
    <i r="3">
      <x v="7"/>
    </i>
    <i r="4">
      <x v="99"/>
    </i>
    <i r="3">
      <x v="10"/>
    </i>
    <i r="4">
      <x v="244"/>
    </i>
    <i r="3">
      <x v="11"/>
    </i>
    <i r="4">
      <x v="34"/>
    </i>
    <i r="3">
      <x v="12"/>
    </i>
    <i r="4">
      <x v="122"/>
    </i>
    <i r="4">
      <x v="263"/>
    </i>
    <i r="3">
      <x v="16"/>
    </i>
    <i r="4">
      <x v="43"/>
    </i>
    <i r="3">
      <x v="17"/>
    </i>
    <i r="4">
      <x v="45"/>
    </i>
    <i r="4">
      <x v="136"/>
    </i>
    <i r="4">
      <x v="140"/>
    </i>
    <i r="4">
      <x v="141"/>
    </i>
    <i r="4">
      <x v="254"/>
    </i>
    <i r="3">
      <x v="23"/>
    </i>
    <i r="4">
      <x v="134"/>
    </i>
    <i r="3">
      <x v="27"/>
    </i>
    <i r="4">
      <x v="130"/>
    </i>
    <i r="4">
      <x v="259"/>
    </i>
    <i r="3">
      <x v="31"/>
    </i>
    <i r="4">
      <x v="106"/>
    </i>
    <i r="3">
      <x v="36"/>
    </i>
    <i r="4">
      <x v="116"/>
    </i>
    <i r="3">
      <x v="38"/>
    </i>
    <i r="4">
      <x v="135"/>
    </i>
    <i r="3">
      <x v="47"/>
    </i>
    <i r="4">
      <x v="234"/>
    </i>
    <i r="2">
      <x v="9"/>
    </i>
    <i r="3">
      <x v="2"/>
    </i>
    <i r="4">
      <x v="142"/>
    </i>
    <i r="3">
      <x v="7"/>
    </i>
    <i r="4">
      <x v="101"/>
    </i>
    <i r="3">
      <x v="10"/>
    </i>
    <i r="4">
      <x v="47"/>
    </i>
    <i r="3">
      <x v="15"/>
    </i>
    <i r="4">
      <x v="44"/>
    </i>
    <i r="3">
      <x v="16"/>
    </i>
    <i r="4">
      <x v="108"/>
    </i>
    <i r="4">
      <x v="192"/>
    </i>
    <i r="3">
      <x v="17"/>
    </i>
    <i r="4">
      <x v="139"/>
    </i>
    <i r="4">
      <x v="245"/>
    </i>
    <i r="3">
      <x v="18"/>
    </i>
    <i r="4">
      <x v="49"/>
    </i>
    <i r="4">
      <x v="144"/>
    </i>
    <i r="3">
      <x v="36"/>
    </i>
    <i r="4">
      <x v="253"/>
    </i>
    <i r="3">
      <x v="44"/>
    </i>
    <i r="4">
      <x v="220"/>
    </i>
    <i r="2">
      <x v="10"/>
    </i>
    <i r="3">
      <x/>
    </i>
    <i r="4">
      <x v="146"/>
    </i>
    <i r="3">
      <x v="3"/>
    </i>
    <i r="4">
      <x v="7"/>
    </i>
    <i r="3">
      <x v="14"/>
    </i>
    <i r="4">
      <x v="147"/>
    </i>
    <i r="3">
      <x v="16"/>
    </i>
    <i r="4">
      <x v="48"/>
    </i>
    <i r="3">
      <x v="18"/>
    </i>
    <i r="4">
      <x v="264"/>
    </i>
    <i r="4">
      <x v="266"/>
    </i>
    <i r="2">
      <x v="11"/>
    </i>
    <i r="3">
      <x v="3"/>
    </i>
    <i r="4">
      <x v="8"/>
    </i>
    <i r="3">
      <x v="4"/>
    </i>
    <i r="4">
      <x v="20"/>
    </i>
    <i r="3">
      <x v="5"/>
    </i>
    <i r="4">
      <x v="21"/>
    </i>
    <i r="4">
      <x v="46"/>
    </i>
    <i r="3">
      <x v="7"/>
    </i>
    <i r="4">
      <x v="101"/>
    </i>
    <i r="3">
      <x v="12"/>
    </i>
    <i r="4">
      <x v="38"/>
    </i>
    <i r="3">
      <x v="17"/>
    </i>
    <i r="4">
      <x v="150"/>
    </i>
    <i r="4">
      <x v="212"/>
    </i>
    <i r="3">
      <x v="48"/>
    </i>
    <i r="4">
      <x v="279"/>
    </i>
    <i r="4">
      <x v="284"/>
    </i>
    <i r="2">
      <x v="12"/>
    </i>
    <i r="3">
      <x/>
    </i>
    <i r="4">
      <x v="149"/>
    </i>
    <i r="3">
      <x v="17"/>
    </i>
    <i r="4">
      <x v="182"/>
    </i>
    <i r="4">
      <x v="213"/>
    </i>
    <i r="3">
      <x v="19"/>
    </i>
    <i r="4">
      <x v="50"/>
    </i>
    <i r="4">
      <x v="80"/>
    </i>
    <i r="3">
      <x v="21"/>
    </i>
    <i r="4">
      <x v="117"/>
    </i>
    <i r="3">
      <x v="23"/>
    </i>
    <i r="4">
      <x v="176"/>
    </i>
    <i r="3">
      <x v="24"/>
    </i>
    <i r="4">
      <x v="126"/>
    </i>
    <i r="3">
      <x v="25"/>
    </i>
    <i r="4">
      <x v="78"/>
    </i>
    <i r="3">
      <x v="27"/>
    </i>
    <i r="4">
      <x v="209"/>
    </i>
    <i r="3">
      <x v="31"/>
    </i>
    <i r="4">
      <x v="106"/>
    </i>
    <i r="3">
      <x v="40"/>
    </i>
    <i r="4">
      <x v="148"/>
    </i>
    <i r="2">
      <x v="13"/>
    </i>
    <i r="3">
      <x v="2"/>
    </i>
    <i r="4">
      <x v="3"/>
    </i>
    <i r="4">
      <x v="4"/>
    </i>
    <i r="3">
      <x v="3"/>
    </i>
    <i r="4">
      <x v="10"/>
    </i>
    <i r="4">
      <x v="11"/>
    </i>
    <i r="3">
      <x v="6"/>
    </i>
    <i r="4">
      <x v="25"/>
    </i>
    <i r="3">
      <x v="8"/>
    </i>
    <i r="4">
      <x v="28"/>
    </i>
    <i r="3">
      <x v="10"/>
    </i>
    <i r="4">
      <x v="238"/>
    </i>
    <i r="3">
      <x v="14"/>
    </i>
    <i r="4">
      <x v="179"/>
    </i>
    <i r="3">
      <x v="17"/>
    </i>
    <i r="4">
      <x v="152"/>
    </i>
    <i r="4">
      <x v="172"/>
    </i>
    <i r="3">
      <x v="18"/>
    </i>
    <i r="4">
      <x v="194"/>
    </i>
    <i r="4">
      <x v="195"/>
    </i>
    <i r="4">
      <x v="265"/>
    </i>
    <i r="4">
      <x v="271"/>
    </i>
    <i r="3">
      <x v="20"/>
    </i>
    <i r="4">
      <x v="52"/>
    </i>
    <i r="3">
      <x v="23"/>
    </i>
    <i r="4">
      <x v="189"/>
    </i>
    <i r="3">
      <x v="35"/>
    </i>
    <i r="4">
      <x v="273"/>
    </i>
    <i r="3">
      <x v="37"/>
    </i>
    <i r="4">
      <x v="193"/>
    </i>
    <i r="3">
      <x v="38"/>
    </i>
    <i r="4">
      <x v="156"/>
    </i>
    <i r="3">
      <x v="46"/>
    </i>
    <i r="4">
      <x v="230"/>
    </i>
    <i r="2">
      <x v="14"/>
    </i>
    <i r="3">
      <x v="3"/>
    </i>
    <i r="4">
      <x v="12"/>
    </i>
    <i r="3">
      <x v="14"/>
    </i>
    <i r="4">
      <x v="154"/>
    </i>
    <i r="3">
      <x v="16"/>
    </i>
    <i r="4">
      <x v="53"/>
    </i>
    <i r="3">
      <x v="18"/>
    </i>
    <i r="4">
      <x v="157"/>
    </i>
    <i r="4">
      <x v="267"/>
    </i>
    <i r="3">
      <x v="25"/>
    </i>
    <i r="4">
      <x v="79"/>
    </i>
    <i r="3">
      <x v="27"/>
    </i>
    <i r="4">
      <x v="145"/>
    </i>
    <i r="2">
      <x v="15"/>
    </i>
    <i r="3">
      <x v="1"/>
    </i>
    <i r="4">
      <x v="1"/>
    </i>
    <i r="3">
      <x v="2"/>
    </i>
    <i r="4">
      <x v="2"/>
    </i>
    <i r="3">
      <x v="10"/>
    </i>
    <i r="4">
      <x v="208"/>
    </i>
    <i r="3">
      <x v="11"/>
    </i>
    <i r="4">
      <x v="35"/>
    </i>
    <i r="3">
      <x v="13"/>
    </i>
    <i r="4">
      <x v="39"/>
    </i>
    <i r="3">
      <x v="15"/>
    </i>
    <i r="4">
      <x v="57"/>
    </i>
    <i r="3">
      <x v="17"/>
    </i>
    <i r="4">
      <x v="210"/>
    </i>
    <i r="4">
      <x v="211"/>
    </i>
    <i r="4">
      <x v="214"/>
    </i>
    <i r="4">
      <x v="275"/>
    </i>
    <i r="3">
      <x v="25"/>
    </i>
    <i r="4">
      <x v="277"/>
    </i>
    <i r="3">
      <x v="42"/>
    </i>
    <i r="4">
      <x v="241"/>
    </i>
    <i r="2">
      <x v="16"/>
    </i>
    <i r="3">
      <x v="1"/>
    </i>
    <i r="4">
      <x v="88"/>
    </i>
    <i r="3">
      <x v="3"/>
    </i>
    <i r="4">
      <x v="13"/>
    </i>
    <i r="3">
      <x v="6"/>
    </i>
    <i r="4">
      <x v="235"/>
    </i>
    <i r="3">
      <x v="7"/>
    </i>
    <i r="4">
      <x v="100"/>
    </i>
    <i r="3">
      <x v="10"/>
    </i>
    <i r="4">
      <x v="94"/>
    </i>
    <i r="3">
      <x v="12"/>
    </i>
    <i r="4">
      <x v="240"/>
    </i>
    <i r="3">
      <x v="18"/>
    </i>
    <i r="4">
      <x v="201"/>
    </i>
    <i r="3">
      <x v="19"/>
    </i>
    <i r="4">
      <x v="96"/>
    </i>
    <i r="3">
      <x v="20"/>
    </i>
    <i r="4">
      <x v="255"/>
    </i>
    <i r="3">
      <x v="27"/>
    </i>
    <i r="4">
      <x v="89"/>
    </i>
    <i r="3">
      <x v="31"/>
    </i>
    <i r="4">
      <x v="106"/>
    </i>
    <i r="4">
      <x v="173"/>
    </i>
    <i r="4">
      <x v="228"/>
    </i>
    <i r="3">
      <x v="32"/>
    </i>
    <i r="4">
      <x v="107"/>
    </i>
    <i r="3">
      <x v="36"/>
    </i>
    <i r="4">
      <x v="121"/>
    </i>
    <i r="3">
      <x v="38"/>
    </i>
    <i r="4">
      <x v="256"/>
    </i>
    <i r="3">
      <x v="44"/>
    </i>
    <i r="4">
      <x v="246"/>
    </i>
    <i r="3">
      <x v="48"/>
    </i>
    <i r="4">
      <x v="278"/>
    </i>
    <i r="2">
      <x v="17"/>
    </i>
    <i r="3">
      <x/>
    </i>
    <i r="4">
      <x/>
    </i>
    <i r="3">
      <x v="1"/>
    </i>
    <i r="4">
      <x v="86"/>
    </i>
    <i r="3">
      <x v="10"/>
    </i>
    <i r="4">
      <x v="93"/>
    </i>
    <i r="3">
      <x v="17"/>
    </i>
    <i r="4">
      <x v="257"/>
    </i>
    <i r="3">
      <x v="18"/>
    </i>
    <i r="4">
      <x v="186"/>
    </i>
    <i r="3">
      <x v="22"/>
    </i>
    <i r="4">
      <x v="127"/>
    </i>
    <i r="3">
      <x v="26"/>
    </i>
    <i r="4">
      <x v="171"/>
    </i>
    <i r="3">
      <x v="27"/>
    </i>
    <i r="4">
      <x v="151"/>
    </i>
    <i r="4">
      <x v="224"/>
    </i>
    <i r="3">
      <x v="29"/>
    </i>
    <i r="4">
      <x v="159"/>
    </i>
    <i r="3">
      <x v="37"/>
    </i>
    <i r="4">
      <x v="155"/>
    </i>
    <i r="3">
      <x v="41"/>
    </i>
    <i r="4">
      <x v="158"/>
    </i>
    <i r="3">
      <x v="45"/>
    </i>
    <i r="4">
      <x v="276"/>
    </i>
    <i r="2">
      <x v="18"/>
    </i>
    <i r="3">
      <x v="4"/>
    </i>
    <i r="4">
      <x v="18"/>
    </i>
    <i r="3">
      <x v="5"/>
    </i>
    <i r="4">
      <x v="56"/>
    </i>
    <i r="3">
      <x v="7"/>
    </i>
    <i r="4">
      <x v="27"/>
    </i>
    <i r="3">
      <x v="16"/>
    </i>
    <i r="4">
      <x v="105"/>
    </i>
    <i r="3">
      <x v="19"/>
    </i>
    <i r="4">
      <x v="54"/>
    </i>
    <i r="3">
      <x v="27"/>
    </i>
    <i r="4">
      <x v="90"/>
    </i>
    <i r="4">
      <x v="153"/>
    </i>
    <i r="4">
      <x v="175"/>
    </i>
    <i r="4">
      <x v="261"/>
    </i>
    <i r="3">
      <x v="30"/>
    </i>
    <i r="4">
      <x v="95"/>
    </i>
    <i r="4">
      <x v="160"/>
    </i>
    <i r="3">
      <x v="33"/>
    </i>
    <i r="4">
      <x v="109"/>
    </i>
    <i r="2">
      <x v="19"/>
    </i>
    <i r="3">
      <x v="1"/>
    </i>
    <i r="4">
      <x v="63"/>
    </i>
    <i r="3">
      <x v="4"/>
    </i>
    <i r="4">
      <x v="19"/>
    </i>
    <i r="3">
      <x v="8"/>
    </i>
    <i r="4">
      <x v="37"/>
    </i>
    <i r="3">
      <x v="10"/>
    </i>
    <i r="4">
      <x v="31"/>
    </i>
    <i r="4">
      <x v="55"/>
    </i>
    <i r="3">
      <x v="11"/>
    </i>
    <i r="4">
      <x v="36"/>
    </i>
    <i r="3">
      <x v="15"/>
    </i>
    <i r="4">
      <x v="239"/>
    </i>
    <i r="3">
      <x v="17"/>
    </i>
    <i r="4">
      <x v="184"/>
    </i>
    <i r="4">
      <x v="185"/>
    </i>
    <i r="4">
      <x v="225"/>
    </i>
    <i r="4">
      <x v="226"/>
    </i>
    <i r="3">
      <x v="18"/>
    </i>
    <i r="4">
      <x v="202"/>
    </i>
    <i r="4">
      <x v="203"/>
    </i>
    <i r="4">
      <x v="272"/>
    </i>
    <i r="3">
      <x v="19"/>
    </i>
    <i r="4">
      <x v="62"/>
    </i>
    <i r="3">
      <x v="22"/>
    </i>
    <i r="4">
      <x v="64"/>
    </i>
    <i r="3">
      <x v="27"/>
    </i>
    <i r="4">
      <x v="143"/>
    </i>
    <i r="3">
      <x v="42"/>
    </i>
    <i r="4">
      <x v="262"/>
    </i>
    <i r="3">
      <x v="45"/>
    </i>
    <i r="4">
      <x v="231"/>
    </i>
    <i t="grand">
      <x/>
    </i>
  </rowItems>
  <colFields count="1">
    <field x="42"/>
  </colFields>
  <colItems count="2">
    <i>
      <x/>
    </i>
    <i t="grand">
      <x/>
    </i>
  </colItems>
  <pageFields count="2">
    <pageField fld="0" hier="-1"/>
    <pageField fld="6" hier="-1"/>
  </pageFields>
  <dataFields count="1">
    <dataField name="Count of Request Number" fld="3" subtotal="count" baseField="22" baseItem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B4:C132" firstHeaderRow="1" firstDataRow="1" firstDataCol="1" rowPageCount="2" colPageCount="1"/>
  <pivotFields count="47"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 sd="0"/>
      </items>
    </pivotField>
    <pivotField axis="axisPage" multipleItemSelectionAllowed="1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axis="axisRow" numFmtId="14" showAll="0">
      <items count="21">
        <item x="8"/>
        <item x="15"/>
        <item x="18"/>
        <item x="11"/>
        <item x="12"/>
        <item x="19"/>
        <item x="3"/>
        <item x="5"/>
        <item x="4"/>
        <item x="16"/>
        <item x="6"/>
        <item x="7"/>
        <item x="17"/>
        <item x="2"/>
        <item x="9"/>
        <item x="1"/>
        <item x="10"/>
        <item x="0"/>
        <item x="13"/>
        <item x="14"/>
        <item t="default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4">
    <field x="46"/>
    <field x="45"/>
    <field x="22"/>
    <field x="9"/>
  </rowFields>
  <rowItems count="128">
    <i>
      <x v="2"/>
    </i>
    <i r="1">
      <x v="4"/>
    </i>
    <i r="2">
      <x/>
    </i>
    <i r="3">
      <x/>
    </i>
    <i r="3">
      <x v="1"/>
    </i>
    <i r="3">
      <x v="2"/>
    </i>
    <i r="3">
      <x v="4"/>
    </i>
    <i r="3">
      <x v="5"/>
    </i>
    <i r="3">
      <x v="8"/>
    </i>
    <i r="2">
      <x v="1"/>
    </i>
    <i r="3">
      <x/>
    </i>
    <i r="3">
      <x v="1"/>
    </i>
    <i r="3">
      <x v="2"/>
    </i>
    <i r="3">
      <x v="5"/>
    </i>
    <i r="3">
      <x v="7"/>
    </i>
    <i r="3">
      <x v="8"/>
    </i>
    <i r="2">
      <x v="2"/>
    </i>
    <i r="3">
      <x/>
    </i>
    <i r="3">
      <x v="1"/>
    </i>
    <i r="3">
      <x v="4"/>
    </i>
    <i r="3">
      <x v="7"/>
    </i>
    <i r="3">
      <x v="8"/>
    </i>
    <i r="2">
      <x v="3"/>
    </i>
    <i r="3">
      <x/>
    </i>
    <i r="3">
      <x v="1"/>
    </i>
    <i r="3">
      <x v="2"/>
    </i>
    <i r="3">
      <x v="4"/>
    </i>
    <i r="3">
      <x v="7"/>
    </i>
    <i r="2">
      <x v="4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2">
      <x v="5"/>
    </i>
    <i r="3">
      <x/>
    </i>
    <i r="3">
      <x v="1"/>
    </i>
    <i r="3">
      <x v="2"/>
    </i>
    <i r="3">
      <x v="3"/>
    </i>
    <i r="3">
      <x v="4"/>
    </i>
    <i r="3">
      <x v="6"/>
    </i>
    <i r="3">
      <x v="8"/>
    </i>
    <i r="2">
      <x v="6"/>
    </i>
    <i r="3">
      <x/>
    </i>
    <i r="3">
      <x v="1"/>
    </i>
    <i r="3">
      <x v="2"/>
    </i>
    <i r="3">
      <x v="3"/>
    </i>
    <i r="3">
      <x v="4"/>
    </i>
    <i r="2">
      <x v="7"/>
    </i>
    <i r="3">
      <x/>
    </i>
    <i r="3">
      <x v="1"/>
    </i>
    <i r="3">
      <x v="2"/>
    </i>
    <i r="3">
      <x v="3"/>
    </i>
    <i r="2">
      <x v="8"/>
    </i>
    <i r="3">
      <x/>
    </i>
    <i r="3">
      <x v="1"/>
    </i>
    <i r="3">
      <x v="2"/>
    </i>
    <i r="3">
      <x v="3"/>
    </i>
    <i r="3">
      <x v="7"/>
    </i>
    <i r="2">
      <x v="9"/>
    </i>
    <i r="3">
      <x v="1"/>
    </i>
    <i r="3">
      <x v="3"/>
    </i>
    <i r="2">
      <x v="10"/>
    </i>
    <i r="3">
      <x v="1"/>
    </i>
    <i r="3">
      <x v="2"/>
    </i>
    <i r="3">
      <x v="3"/>
    </i>
    <i r="3">
      <x v="4"/>
    </i>
    <i r="3">
      <x v="7"/>
    </i>
    <i r="2">
      <x v="11"/>
    </i>
    <i r="3">
      <x v="1"/>
    </i>
    <i r="3">
      <x v="2"/>
    </i>
    <i r="3">
      <x v="3"/>
    </i>
    <i r="3">
      <x v="4"/>
    </i>
    <i r="3">
      <x v="6"/>
    </i>
    <i r="2">
      <x v="12"/>
    </i>
    <i r="3">
      <x v="1"/>
    </i>
    <i r="3">
      <x v="2"/>
    </i>
    <i r="3">
      <x v="3"/>
    </i>
    <i r="3">
      <x v="4"/>
    </i>
    <i r="3">
      <x v="7"/>
    </i>
    <i r="2">
      <x v="13"/>
    </i>
    <i r="3">
      <x/>
    </i>
    <i r="3">
      <x v="1"/>
    </i>
    <i r="3">
      <x v="2"/>
    </i>
    <i r="3">
      <x v="3"/>
    </i>
    <i r="3">
      <x v="5"/>
    </i>
    <i r="2">
      <x v="14"/>
    </i>
    <i r="3">
      <x/>
    </i>
    <i r="3">
      <x v="3"/>
    </i>
    <i r="3">
      <x v="5"/>
    </i>
    <i r="2">
      <x v="15"/>
    </i>
    <i r="3">
      <x v="1"/>
    </i>
    <i r="3">
      <x v="2"/>
    </i>
    <i r="3">
      <x v="3"/>
    </i>
    <i r="3">
      <x v="6"/>
    </i>
    <i r="3">
      <x v="7"/>
    </i>
    <i r="2">
      <x v="16"/>
    </i>
    <i r="3">
      <x/>
    </i>
    <i r="3">
      <x v="1"/>
    </i>
    <i r="3">
      <x v="2"/>
    </i>
    <i r="3">
      <x v="3"/>
    </i>
    <i r="3">
      <x v="4"/>
    </i>
    <i r="3">
      <x v="5"/>
    </i>
    <i r="3">
      <x v="7"/>
    </i>
    <i r="2">
      <x v="17"/>
    </i>
    <i r="3">
      <x/>
    </i>
    <i r="3">
      <x v="1"/>
    </i>
    <i r="3">
      <x v="2"/>
    </i>
    <i r="3">
      <x v="3"/>
    </i>
    <i r="3">
      <x v="5"/>
    </i>
    <i r="2">
      <x v="18"/>
    </i>
    <i r="3">
      <x/>
    </i>
    <i r="3">
      <x v="1"/>
    </i>
    <i r="3">
      <x v="3"/>
    </i>
    <i r="3">
      <x v="4"/>
    </i>
    <i r="3">
      <x v="5"/>
    </i>
    <i r="3">
      <x v="6"/>
    </i>
    <i r="2">
      <x v="19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t="grand">
      <x/>
    </i>
  </rowItems>
  <colItems count="1">
    <i/>
  </colItems>
  <pageFields count="2">
    <pageField fld="10" hier="-1"/>
    <pageField fld="0" hier="-1"/>
  </pageFields>
  <dataFields count="1">
    <dataField name="Count of Request Number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data" displayName="table_data" ref="A1:AS292" totalsRowShown="0" headerRowDxfId="46" dataDxfId="45">
  <autoFilter ref="A1:AS292" xr:uid="{00000000-0009-0000-0100-000001000000}"/>
  <tableColumns count="45">
    <tableColumn id="1" xr3:uid="{00000000-0010-0000-0000-000001000000}" name="Site/Property" dataDxfId="44"/>
    <tableColumn id="2" xr3:uid="{00000000-0010-0000-0000-000002000000}" name="Priority-Level" dataDxfId="43"/>
    <tableColumn id="3" xr3:uid="{00000000-0010-0000-0000-000003000000}" name="TimeReceived" dataDxfId="42"/>
    <tableColumn id="4" xr3:uid="{00000000-0010-0000-0000-000004000000}" name="Request Number" dataDxfId="41"/>
    <tableColumn id="5" xr3:uid="{00000000-0010-0000-0000-000005000000}" name="Contacts" dataDxfId="40"/>
    <tableColumn id="6" xr3:uid="{00000000-0010-0000-0000-000006000000}" name="Group" dataDxfId="39"/>
    <tableColumn id="43" xr3:uid="{00000000-0010-0000-0000-00002B000000}" name="Section" dataDxfId="38"/>
    <tableColumn id="7" xr3:uid="{00000000-0010-0000-0000-000007000000}" name="Subject" dataDxfId="37"/>
    <tableColumn id="8" xr3:uid="{00000000-0010-0000-0000-000008000000}" name="Triager" dataDxfId="36"/>
    <tableColumn id="9" xr3:uid="{00000000-0010-0000-0000-000009000000}" name="Owner" dataDxfId="35"/>
    <tableColumn id="10" xr3:uid="{00000000-0010-0000-0000-00000A000000}" name="Type" dataDxfId="34"/>
    <tableColumn id="11" xr3:uid="{00000000-0010-0000-0000-00000B000000}" name="Complexity" dataDxfId="33"/>
    <tableColumn id="12" xr3:uid="{00000000-0010-0000-0000-00000C000000}" name="Actual Work" dataDxfId="32"/>
    <tableColumn id="13" xr3:uid="{00000000-0010-0000-0000-00000D000000}" name="Updated Pages" dataDxfId="31"/>
    <tableColumn id="14" xr3:uid="{00000000-0010-0000-0000-00000E000000}" name="New Pages" dataDxfId="30"/>
    <tableColumn id="15" xr3:uid="{00000000-0010-0000-0000-00000F000000}" name="Deleted Pages" dataDxfId="29"/>
    <tableColumn id="16" xr3:uid="{00000000-0010-0000-0000-000010000000}" name="Supporting Files" dataDxfId="28"/>
    <tableColumn id="17" xr3:uid="{00000000-0010-0000-0000-000011000000}" name="Deleted Supporting Files" dataDxfId="27"/>
    <tableColumn id="18" xr3:uid="{00000000-0010-0000-0000-000012000000}" name="Created" dataDxfId="26"/>
    <tableColumn id="19" xr3:uid="{00000000-0010-0000-0000-000013000000}" name="Start Date" dataDxfId="25"/>
    <tableColumn id="20" xr3:uid="{00000000-0010-0000-0000-000014000000}" name="Staging Date" dataDxfId="24"/>
    <tableColumn id="21" xr3:uid="{00000000-0010-0000-0000-000015000000}" name="Mandatory-Posting-Date" dataDxfId="23"/>
    <tableColumn id="22" xr3:uid="{00000000-0010-0000-0000-000016000000}" name="Date Completed" dataDxfId="22"/>
    <tableColumn id="23" xr3:uid="{00000000-0010-0000-0000-000017000000}" name="Due Date" dataDxfId="21"/>
    <tableColumn id="24" xr3:uid="{00000000-0010-0000-0000-000018000000}" name="QA-by" dataDxfId="20"/>
    <tableColumn id="25" xr3:uid="{00000000-0010-0000-0000-000019000000}" name="QA-date" dataDxfId="19"/>
    <tableColumn id="26" xr3:uid="{00000000-0010-0000-0000-00001A000000}" name="OT Required" dataDxfId="18"/>
    <tableColumn id="27" xr3:uid="{00000000-0010-0000-0000-00001B000000}" name="Last Minute " dataDxfId="17"/>
    <tableColumn id="28" xr3:uid="{00000000-0010-0000-0000-00001C000000}" name="Cancelled" dataDxfId="16"/>
    <tableColumn id="29" xr3:uid="{00000000-0010-0000-0000-00001D000000}" name="Side-by-Side" dataDxfId="15"/>
    <tableColumn id="30" xr3:uid="{00000000-0010-0000-0000-00001E000000}" name="Tracked-Clean" dataDxfId="14"/>
    <tableColumn id="31" xr3:uid="{00000000-0010-0000-0000-00001F000000}" name="Complete-Request" dataDxfId="13"/>
    <tableColumn id="32" xr3:uid="{00000000-0010-0000-0000-000020000000}" name="Missing Info" dataDxfId="12"/>
    <tableColumn id="33" xr3:uid="{00000000-0010-0000-0000-000021000000}" name="Unclear Instruction" dataDxfId="11"/>
    <tableColumn id="34" xr3:uid="{00000000-0010-0000-0000-000022000000}" name="Amendment-Client" dataDxfId="10"/>
    <tableColumn id="35" xr3:uid="{00000000-0010-0000-0000-000023000000}" name="Flagged-Issues" dataDxfId="9"/>
    <tableColumn id="36" xr3:uid="{00000000-0010-0000-0000-000024000000}" name="Amendment-QA" dataDxfId="8"/>
    <tableColumn id="37" xr3:uid="{00000000-0010-0000-0000-000025000000}" name="Bypass-QA" dataDxfId="7"/>
    <tableColumn id="38" xr3:uid="{00000000-0010-0000-0000-000026000000}" name="SLA (days)_x000a_Start date to staging date" dataDxfId="6">
      <calculatedColumnFormula>IF(OR(AC2="Yes",K2="Info Request", K2="Side-Project"),0,(NETWORKDAYS(T2,U2,Holidays!A$2:A$13))-1)</calculatedColumnFormula>
    </tableColumn>
    <tableColumn id="39" xr3:uid="{00000000-0010-0000-0000-000027000000}" name="Staging to Live" dataDxfId="5">
      <calculatedColumnFormula>IF(OR(AC2="Yes",K2="Info Request", K2="Side-Project"),0,(NETWORKDAYS(U2,W2,Holidays!A$2:A$13))-1)</calculatedColumnFormula>
    </tableColumn>
    <tableColumn id="40" xr3:uid="{00000000-0010-0000-0000-000028000000}" name="Coding days" dataDxfId="4">
      <calculatedColumnFormula>IF(OR(V2="none"),0,((NETWORKDAYS(S2,V2,Holidays!A$2:A$13))-1))</calculatedColumnFormula>
    </tableColumn>
    <tableColumn id="41" xr3:uid="{00000000-0010-0000-0000-000029000000}" name="SLA (%)_x000a_Coding day vs complexity " dataDxfId="3">
      <calculatedColumnFormula>OR(AO2&lt;=L2)</calculatedColumnFormula>
    </tableColumn>
    <tableColumn id="42" xr3:uid="{00000000-0010-0000-0000-00002A000000}" name="Meet SLA" dataDxfId="2">
      <calculatedColumnFormula>OR(AM2&lt;=L2)</calculatedColumnFormula>
    </tableColumn>
    <tableColumn id="44" xr3:uid="{00000000-0010-0000-0000-00002C000000}" name="Flagged Issues" dataDxfId="1">
      <calculatedColumnFormula>IF(AJ2 &gt; (N2 + O2), "too many URLs", "OK")</calculatedColumnFormula>
    </tableColumn>
    <tableColumn id="45" xr3:uid="{00000000-0010-0000-0000-00002D000000}" name="Flagged issues # of tasks" dataDxfId="0">
      <calculatedColumnFormula>IF(table_data[[#This Row],[Flagged-Issues]] = 0, "", table_data[[#This Row],[Flagged-Issues]])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Z27"/>
  <sheetViews>
    <sheetView tabSelected="1" workbookViewId="0">
      <selection activeCell="Y5" sqref="Y5"/>
    </sheetView>
  </sheetViews>
  <sheetFormatPr defaultRowHeight="15" x14ac:dyDescent="0.25"/>
  <cols>
    <col min="2" max="2" width="17.7109375" customWidth="1"/>
    <col min="3" max="3" width="5.28515625" bestFit="1" customWidth="1"/>
    <col min="4" max="4" width="4.85546875" bestFit="1" customWidth="1"/>
    <col min="5" max="5" width="7.42578125" bestFit="1" customWidth="1"/>
    <col min="6" max="6" width="6.7109375" customWidth="1"/>
    <col min="7" max="8" width="8.140625" bestFit="1" customWidth="1"/>
    <col min="9" max="9" width="9.140625" bestFit="1" customWidth="1"/>
    <col min="10" max="10" width="12" bestFit="1" customWidth="1"/>
    <col min="11" max="11" width="5.28515625" bestFit="1" customWidth="1"/>
    <col min="12" max="12" width="4.85546875" bestFit="1" customWidth="1"/>
    <col min="13" max="13" width="6.42578125" bestFit="1" customWidth="1"/>
    <col min="14" max="14" width="5" bestFit="1" customWidth="1"/>
    <col min="15" max="15" width="5.28515625" bestFit="1" customWidth="1"/>
    <col min="16" max="16" width="4.85546875" bestFit="1" customWidth="1"/>
    <col min="17" max="17" width="6.42578125" bestFit="1" customWidth="1"/>
    <col min="18" max="18" width="6" bestFit="1" customWidth="1"/>
    <col min="19" max="19" width="5.28515625" bestFit="1" customWidth="1"/>
    <col min="20" max="20" width="4.85546875" bestFit="1" customWidth="1"/>
    <col min="21" max="21" width="6.42578125" bestFit="1" customWidth="1"/>
    <col min="22" max="22" width="5" bestFit="1" customWidth="1"/>
  </cols>
  <sheetData>
    <row r="1" spans="2:26" ht="15.75" thickBot="1" x14ac:dyDescent="0.3"/>
    <row r="2" spans="2:26" x14ac:dyDescent="0.25">
      <c r="B2" s="80" t="s">
        <v>32</v>
      </c>
      <c r="C2" s="78" t="s">
        <v>33</v>
      </c>
      <c r="D2" s="78"/>
      <c r="E2" s="78"/>
      <c r="F2" s="78"/>
      <c r="G2" s="78" t="s">
        <v>41</v>
      </c>
      <c r="H2" s="78"/>
      <c r="I2" s="78"/>
      <c r="J2" s="78"/>
      <c r="K2" s="78" t="s">
        <v>42</v>
      </c>
      <c r="L2" s="78"/>
      <c r="M2" s="78"/>
      <c r="N2" s="78"/>
      <c r="O2" s="78" t="s">
        <v>43</v>
      </c>
      <c r="P2" s="78"/>
      <c r="Q2" s="78"/>
      <c r="R2" s="78"/>
      <c r="S2" s="78" t="s">
        <v>44</v>
      </c>
      <c r="T2" s="78"/>
      <c r="U2" s="78"/>
      <c r="V2" s="79"/>
      <c r="W2" s="78" t="s">
        <v>107</v>
      </c>
      <c r="X2" s="78"/>
      <c r="Y2" s="78"/>
      <c r="Z2" s="79"/>
    </row>
    <row r="3" spans="2:26" ht="15.75" thickBot="1" x14ac:dyDescent="0.3">
      <c r="B3" s="81"/>
      <c r="C3" s="8" t="s">
        <v>34</v>
      </c>
      <c r="D3" s="8" t="s">
        <v>29</v>
      </c>
      <c r="E3" s="8" t="s">
        <v>35</v>
      </c>
      <c r="F3" s="8" t="s">
        <v>36</v>
      </c>
      <c r="G3" s="8" t="s">
        <v>34</v>
      </c>
      <c r="H3" s="8" t="s">
        <v>29</v>
      </c>
      <c r="I3" s="8" t="s">
        <v>35</v>
      </c>
      <c r="J3" s="8" t="s">
        <v>36</v>
      </c>
      <c r="K3" s="8" t="s">
        <v>34</v>
      </c>
      <c r="L3" s="8" t="s">
        <v>29</v>
      </c>
      <c r="M3" s="8" t="s">
        <v>35</v>
      </c>
      <c r="N3" s="8" t="s">
        <v>36</v>
      </c>
      <c r="O3" s="8" t="s">
        <v>34</v>
      </c>
      <c r="P3" s="8" t="s">
        <v>29</v>
      </c>
      <c r="Q3" s="8" t="s">
        <v>35</v>
      </c>
      <c r="R3" s="8" t="s">
        <v>36</v>
      </c>
      <c r="S3" s="8" t="s">
        <v>34</v>
      </c>
      <c r="T3" s="8" t="s">
        <v>29</v>
      </c>
      <c r="U3" s="8" t="s">
        <v>35</v>
      </c>
      <c r="V3" s="9" t="s">
        <v>36</v>
      </c>
      <c r="W3" s="8" t="s">
        <v>104</v>
      </c>
      <c r="X3" s="8" t="s">
        <v>29</v>
      </c>
      <c r="Y3" s="8" t="s">
        <v>108</v>
      </c>
      <c r="Z3" s="9" t="s">
        <v>36</v>
      </c>
    </row>
    <row r="4" spans="2:26" x14ac:dyDescent="0.25">
      <c r="B4" s="41" t="s">
        <v>109</v>
      </c>
      <c r="C4" s="13">
        <v>183</v>
      </c>
      <c r="D4" s="13">
        <v>119</v>
      </c>
      <c r="E4" s="13">
        <v>0</v>
      </c>
      <c r="F4" s="11"/>
      <c r="G4" s="17">
        <f>119/119</f>
        <v>1</v>
      </c>
      <c r="H4" s="17">
        <f>183/183</f>
        <v>1</v>
      </c>
      <c r="I4" s="17" t="s">
        <v>522</v>
      </c>
      <c r="J4" s="18"/>
      <c r="K4" s="13">
        <v>42</v>
      </c>
      <c r="L4" s="13">
        <v>206</v>
      </c>
      <c r="M4" s="13">
        <v>0</v>
      </c>
      <c r="N4" s="37"/>
      <c r="O4" s="13">
        <v>532</v>
      </c>
      <c r="P4" s="13">
        <v>604</v>
      </c>
      <c r="Q4" s="13">
        <v>0</v>
      </c>
      <c r="R4" s="37"/>
      <c r="S4" s="13">
        <v>0</v>
      </c>
      <c r="T4" s="13">
        <v>13</v>
      </c>
      <c r="U4" s="13">
        <v>0</v>
      </c>
      <c r="V4" s="12"/>
      <c r="W4" s="69">
        <v>50</v>
      </c>
      <c r="X4" s="13">
        <v>68</v>
      </c>
      <c r="Y4" s="13">
        <v>0</v>
      </c>
      <c r="Z4" s="12"/>
    </row>
    <row r="5" spans="2:26" x14ac:dyDescent="0.25">
      <c r="B5" s="42" t="s">
        <v>110</v>
      </c>
      <c r="C5" s="14"/>
      <c r="D5" s="14"/>
      <c r="E5" s="14"/>
      <c r="F5" s="3"/>
      <c r="G5" s="19"/>
      <c r="H5" s="19"/>
      <c r="I5" s="19"/>
      <c r="J5" s="20"/>
      <c r="K5" s="14"/>
      <c r="L5" s="14"/>
      <c r="M5" s="14"/>
      <c r="N5" s="38"/>
      <c r="O5" s="14"/>
      <c r="P5" s="14"/>
      <c r="Q5" s="14"/>
      <c r="R5" s="38"/>
      <c r="S5" s="14"/>
      <c r="T5" s="14"/>
      <c r="U5" s="14"/>
      <c r="V5" s="4"/>
      <c r="W5" s="70"/>
      <c r="X5" s="31"/>
      <c r="Y5" s="31"/>
      <c r="Z5" s="10"/>
    </row>
    <row r="6" spans="2:26" x14ac:dyDescent="0.25">
      <c r="B6" s="42" t="s">
        <v>111</v>
      </c>
      <c r="C6" s="14"/>
      <c r="D6" s="14"/>
      <c r="E6" s="14"/>
      <c r="F6" s="3"/>
      <c r="G6" s="19"/>
      <c r="H6" s="19"/>
      <c r="I6" s="19"/>
      <c r="J6" s="20"/>
      <c r="K6" s="14"/>
      <c r="L6" s="14"/>
      <c r="M6" s="14"/>
      <c r="N6" s="38"/>
      <c r="O6" s="14"/>
      <c r="P6" s="14"/>
      <c r="Q6" s="14"/>
      <c r="R6" s="38"/>
      <c r="S6" s="14"/>
      <c r="T6" s="14"/>
      <c r="U6" s="14"/>
      <c r="V6" s="4"/>
      <c r="W6" s="31"/>
      <c r="X6" s="31"/>
      <c r="Y6" s="31"/>
      <c r="Z6" s="10"/>
    </row>
    <row r="7" spans="2:26" ht="15.75" thickBot="1" x14ac:dyDescent="0.3">
      <c r="B7" s="5" t="s">
        <v>37</v>
      </c>
      <c r="C7" s="6">
        <f>SUM(C4:C6)</f>
        <v>183</v>
      </c>
      <c r="D7" s="6">
        <f t="shared" ref="D7:E7" si="0">SUM(D4:D6)</f>
        <v>119</v>
      </c>
      <c r="E7" s="6">
        <f t="shared" si="0"/>
        <v>0</v>
      </c>
      <c r="F7" s="6">
        <f>SUM(C7:E7)</f>
        <v>302</v>
      </c>
      <c r="G7" s="21">
        <f>AVERAGE(G4:G6)</f>
        <v>1</v>
      </c>
      <c r="H7" s="21">
        <f t="shared" ref="H7:I7" si="1">AVERAGE(H4:H6)</f>
        <v>1</v>
      </c>
      <c r="I7" s="21" t="e">
        <f t="shared" si="1"/>
        <v>#DIV/0!</v>
      </c>
      <c r="J7" s="21" t="e">
        <f t="shared" ref="J7" si="2">AVERAGE(G7:I7)</f>
        <v>#DIV/0!</v>
      </c>
      <c r="K7" s="6">
        <f>SUM(K4:K6)</f>
        <v>42</v>
      </c>
      <c r="L7" s="6">
        <f t="shared" ref="L7:M7" si="3">SUM(L4:L6)</f>
        <v>206</v>
      </c>
      <c r="M7" s="6">
        <f t="shared" si="3"/>
        <v>0</v>
      </c>
      <c r="N7" s="39">
        <f t="shared" ref="N7:N19" si="4">SUM(K7:M7)</f>
        <v>248</v>
      </c>
      <c r="O7" s="6">
        <f>SUM(O4:O6)</f>
        <v>532</v>
      </c>
      <c r="P7" s="6">
        <f t="shared" ref="P7:Q7" si="5">SUM(P4:P6)</f>
        <v>604</v>
      </c>
      <c r="Q7" s="6">
        <f t="shared" si="5"/>
        <v>0</v>
      </c>
      <c r="R7" s="39">
        <f t="shared" ref="R7:R15" si="6">SUM(O7:Q7)</f>
        <v>1136</v>
      </c>
      <c r="S7" s="6">
        <f>SUM(S4:S6)</f>
        <v>0</v>
      </c>
      <c r="T7" s="6">
        <f t="shared" ref="T7:U7" si="7">SUM(T4:T6)</f>
        <v>13</v>
      </c>
      <c r="U7" s="6">
        <f t="shared" si="7"/>
        <v>0</v>
      </c>
      <c r="V7" s="7">
        <f t="shared" ref="V7:V15" si="8">SUM(S7:U7)</f>
        <v>13</v>
      </c>
      <c r="W7" s="6">
        <f>SUM(W4:W6)</f>
        <v>50</v>
      </c>
      <c r="X7" s="6">
        <f t="shared" ref="X7:Y7" si="9">SUM(X4:X6)</f>
        <v>68</v>
      </c>
      <c r="Y7" s="6">
        <f t="shared" si="9"/>
        <v>0</v>
      </c>
      <c r="Z7" s="7">
        <f>SUM(W7:Y7)</f>
        <v>118</v>
      </c>
    </row>
    <row r="8" spans="2:26" x14ac:dyDescent="0.25">
      <c r="B8" s="41" t="s">
        <v>112</v>
      </c>
      <c r="C8" s="13"/>
      <c r="D8" s="13"/>
      <c r="E8" s="13"/>
      <c r="F8" s="37"/>
      <c r="G8" s="17"/>
      <c r="H8" s="17"/>
      <c r="I8" s="17"/>
      <c r="J8" s="33"/>
      <c r="K8" s="13"/>
      <c r="L8" s="13"/>
      <c r="M8" s="13"/>
      <c r="N8" s="37"/>
      <c r="O8" s="13"/>
      <c r="P8" s="13"/>
      <c r="Q8" s="13"/>
      <c r="R8" s="37"/>
      <c r="S8" s="13"/>
      <c r="T8" s="13"/>
      <c r="U8" s="13"/>
      <c r="V8" s="12"/>
      <c r="W8" s="69"/>
      <c r="X8" s="13"/>
      <c r="Y8" s="13"/>
      <c r="Z8" s="12"/>
    </row>
    <row r="9" spans="2:26" x14ac:dyDescent="0.25">
      <c r="B9" s="42" t="s">
        <v>113</v>
      </c>
      <c r="C9" s="14"/>
      <c r="D9" s="14"/>
      <c r="E9" s="14"/>
      <c r="F9" s="38"/>
      <c r="G9" s="19"/>
      <c r="H9" s="19"/>
      <c r="I9" s="19"/>
      <c r="J9" s="34"/>
      <c r="K9" s="14"/>
      <c r="L9" s="14"/>
      <c r="M9" s="14"/>
      <c r="N9" s="38"/>
      <c r="O9" s="14"/>
      <c r="P9" s="14"/>
      <c r="Q9" s="14"/>
      <c r="R9" s="38"/>
      <c r="S9" s="14"/>
      <c r="T9" s="14"/>
      <c r="U9" s="14"/>
      <c r="V9" s="4"/>
      <c r="W9" s="70"/>
      <c r="X9" s="31"/>
      <c r="Y9" s="31"/>
      <c r="Z9" s="10"/>
    </row>
    <row r="10" spans="2:26" x14ac:dyDescent="0.25">
      <c r="B10" s="42" t="s">
        <v>114</v>
      </c>
      <c r="C10" s="14"/>
      <c r="D10" s="14"/>
      <c r="E10" s="14"/>
      <c r="F10" s="38"/>
      <c r="G10" s="19"/>
      <c r="H10" s="19"/>
      <c r="I10" s="19"/>
      <c r="J10" s="34"/>
      <c r="K10" s="14"/>
      <c r="L10" s="14"/>
      <c r="M10" s="14"/>
      <c r="N10" s="38"/>
      <c r="O10" s="14"/>
      <c r="P10" s="14"/>
      <c r="Q10" s="14"/>
      <c r="R10" s="38"/>
      <c r="S10" s="14"/>
      <c r="T10" s="14"/>
      <c r="U10" s="14"/>
      <c r="V10" s="4"/>
      <c r="W10" s="31"/>
      <c r="X10" s="31"/>
      <c r="Y10" s="31"/>
      <c r="Z10" s="10"/>
    </row>
    <row r="11" spans="2:26" ht="15.75" thickBot="1" x14ac:dyDescent="0.3">
      <c r="B11" s="5" t="s">
        <v>38</v>
      </c>
      <c r="C11" s="6">
        <f>SUM(C8:C10)</f>
        <v>0</v>
      </c>
      <c r="D11" s="6">
        <f t="shared" ref="D11:E11" si="10">SUM(D8:D10)</f>
        <v>0</v>
      </c>
      <c r="E11" s="6">
        <f t="shared" si="10"/>
        <v>0</v>
      </c>
      <c r="F11" s="39">
        <f t="shared" ref="F11" si="11">SUM(C11:E11)</f>
        <v>0</v>
      </c>
      <c r="G11" s="21" t="e">
        <f>AVERAGE(G8:G10)</f>
        <v>#DIV/0!</v>
      </c>
      <c r="H11" s="21" t="e">
        <f t="shared" ref="H11:I11" si="12">AVERAGE(H8:H10)</f>
        <v>#DIV/0!</v>
      </c>
      <c r="I11" s="21" t="e">
        <f t="shared" si="12"/>
        <v>#DIV/0!</v>
      </c>
      <c r="J11" s="35" t="e">
        <f t="shared" ref="J11" si="13">AVERAGE(G11:I11)</f>
        <v>#DIV/0!</v>
      </c>
      <c r="K11" s="6">
        <f>SUM(K8:K10)</f>
        <v>0</v>
      </c>
      <c r="L11" s="6">
        <f t="shared" ref="L11:M11" si="14">SUM(L8:L10)</f>
        <v>0</v>
      </c>
      <c r="M11" s="6">
        <f t="shared" si="14"/>
        <v>0</v>
      </c>
      <c r="N11" s="39">
        <f>SUM(K11:M11)</f>
        <v>0</v>
      </c>
      <c r="O11" s="6">
        <f>SUM(O8:O10)</f>
        <v>0</v>
      </c>
      <c r="P11" s="6">
        <f t="shared" ref="P11:Q11" si="15">SUM(P8:P10)</f>
        <v>0</v>
      </c>
      <c r="Q11" s="6">
        <f t="shared" si="15"/>
        <v>0</v>
      </c>
      <c r="R11" s="39">
        <f t="shared" ref="R11" si="16">SUM(O11:Q11)</f>
        <v>0</v>
      </c>
      <c r="S11" s="6">
        <f>SUM(S8:S10)</f>
        <v>0</v>
      </c>
      <c r="T11" s="6">
        <f t="shared" ref="T11:U11" si="17">SUM(T8:T10)</f>
        <v>0</v>
      </c>
      <c r="U11" s="6">
        <f t="shared" si="17"/>
        <v>0</v>
      </c>
      <c r="V11" s="7">
        <f t="shared" ref="V11" si="18">SUM(S11:U11)</f>
        <v>0</v>
      </c>
      <c r="W11" s="6">
        <f>SUM(W8:W10)</f>
        <v>0</v>
      </c>
      <c r="X11" s="6">
        <f t="shared" ref="X11:Y11" si="19">SUM(X8:X10)</f>
        <v>0</v>
      </c>
      <c r="Y11" s="6">
        <f t="shared" si="19"/>
        <v>0</v>
      </c>
      <c r="Z11" s="7">
        <f>SUM(W11:Y11)</f>
        <v>0</v>
      </c>
    </row>
    <row r="12" spans="2:26" x14ac:dyDescent="0.25">
      <c r="B12" s="43" t="s">
        <v>115</v>
      </c>
      <c r="C12" s="13"/>
      <c r="D12" s="13"/>
      <c r="E12" s="13"/>
      <c r="F12" s="37"/>
      <c r="G12" s="17"/>
      <c r="H12" s="17"/>
      <c r="I12" s="47"/>
      <c r="J12" s="33"/>
      <c r="K12" s="13"/>
      <c r="L12" s="13"/>
      <c r="M12" s="13"/>
      <c r="N12" s="37"/>
      <c r="O12" s="13"/>
      <c r="P12" s="13"/>
      <c r="Q12" s="13"/>
      <c r="R12" s="37"/>
      <c r="S12" s="13"/>
      <c r="T12" s="13"/>
      <c r="U12" s="13"/>
      <c r="V12" s="12"/>
      <c r="W12" s="69"/>
      <c r="X12" s="13"/>
      <c r="Y12" s="13"/>
      <c r="Z12" s="12"/>
    </row>
    <row r="13" spans="2:26" x14ac:dyDescent="0.25">
      <c r="B13" s="42" t="s">
        <v>116</v>
      </c>
      <c r="C13" s="14"/>
      <c r="D13" s="14"/>
      <c r="E13" s="14"/>
      <c r="F13" s="38"/>
      <c r="G13" s="19"/>
      <c r="H13" s="19"/>
      <c r="I13" s="19"/>
      <c r="J13" s="34"/>
      <c r="K13" s="14"/>
      <c r="L13" s="14"/>
      <c r="M13" s="14"/>
      <c r="N13" s="38"/>
      <c r="O13" s="14"/>
      <c r="P13" s="14"/>
      <c r="Q13" s="14"/>
      <c r="R13" s="38"/>
      <c r="S13" s="14"/>
      <c r="T13" s="14"/>
      <c r="U13" s="14"/>
      <c r="V13" s="4"/>
      <c r="W13" s="70"/>
      <c r="X13" s="31"/>
      <c r="Y13" s="31"/>
      <c r="Z13" s="10"/>
    </row>
    <row r="14" spans="2:26" x14ac:dyDescent="0.25">
      <c r="B14" s="42" t="s">
        <v>117</v>
      </c>
      <c r="C14" s="14"/>
      <c r="D14" s="14"/>
      <c r="E14" s="14"/>
      <c r="F14" s="38"/>
      <c r="G14" s="19"/>
      <c r="H14" s="19"/>
      <c r="I14" s="32"/>
      <c r="J14" s="34"/>
      <c r="K14" s="14"/>
      <c r="L14" s="14"/>
      <c r="M14" s="14"/>
      <c r="N14" s="38"/>
      <c r="O14" s="14"/>
      <c r="P14" s="14"/>
      <c r="Q14" s="14"/>
      <c r="R14" s="38"/>
      <c r="S14" s="14"/>
      <c r="T14" s="14"/>
      <c r="U14" s="14"/>
      <c r="V14" s="4"/>
      <c r="W14" s="31"/>
      <c r="X14" s="31"/>
      <c r="Y14" s="31"/>
      <c r="Z14" s="10"/>
    </row>
    <row r="15" spans="2:26" ht="15.75" thickBot="1" x14ac:dyDescent="0.3">
      <c r="B15" s="5" t="s">
        <v>39</v>
      </c>
      <c r="C15" s="6">
        <f>SUM(C12:C14)</f>
        <v>0</v>
      </c>
      <c r="D15" s="6">
        <f t="shared" ref="D15:E15" si="20">SUM(D12:D14)</f>
        <v>0</v>
      </c>
      <c r="E15" s="6">
        <f t="shared" si="20"/>
        <v>0</v>
      </c>
      <c r="F15" s="39">
        <f t="shared" ref="F15" si="21">SUM(C15:E15)</f>
        <v>0</v>
      </c>
      <c r="G15" s="21" t="e">
        <f>AVERAGE(G12:G14)</f>
        <v>#DIV/0!</v>
      </c>
      <c r="H15" s="21" t="e">
        <f t="shared" ref="H15:I15" si="22">AVERAGE(H12:H14)</f>
        <v>#DIV/0!</v>
      </c>
      <c r="I15" s="21" t="e">
        <f t="shared" si="22"/>
        <v>#DIV/0!</v>
      </c>
      <c r="J15" s="35" t="e">
        <f>AVERAGE(G15:I15)</f>
        <v>#DIV/0!</v>
      </c>
      <c r="K15" s="6">
        <f>SUM(K12:K14)</f>
        <v>0</v>
      </c>
      <c r="L15" s="6">
        <f t="shared" ref="L15:M15" si="23">SUM(L12:L14)</f>
        <v>0</v>
      </c>
      <c r="M15" s="6">
        <f t="shared" si="23"/>
        <v>0</v>
      </c>
      <c r="N15" s="39">
        <f t="shared" ref="N15" si="24">SUM(K15:M15)</f>
        <v>0</v>
      </c>
      <c r="O15" s="6">
        <f>SUM(O12:O14)</f>
        <v>0</v>
      </c>
      <c r="P15" s="6">
        <f t="shared" ref="P15:Q15" si="25">SUM(P12:P14)</f>
        <v>0</v>
      </c>
      <c r="Q15" s="6">
        <f t="shared" si="25"/>
        <v>0</v>
      </c>
      <c r="R15" s="39">
        <f t="shared" si="6"/>
        <v>0</v>
      </c>
      <c r="S15" s="6">
        <f>SUM(S12:S14)</f>
        <v>0</v>
      </c>
      <c r="T15" s="6">
        <f t="shared" ref="T15:U15" si="26">SUM(T12:T14)</f>
        <v>0</v>
      </c>
      <c r="U15" s="6">
        <f t="shared" si="26"/>
        <v>0</v>
      </c>
      <c r="V15" s="7">
        <f t="shared" si="8"/>
        <v>0</v>
      </c>
      <c r="W15" s="6">
        <f>SUM(W12:W14)</f>
        <v>0</v>
      </c>
      <c r="X15" s="6">
        <f t="shared" ref="X15:Y15" si="27">SUM(X12:X14)</f>
        <v>0</v>
      </c>
      <c r="Y15" s="6">
        <f t="shared" si="27"/>
        <v>0</v>
      </c>
      <c r="Z15" s="7">
        <f>SUM(W15:Y15)</f>
        <v>0</v>
      </c>
    </row>
    <row r="16" spans="2:26" x14ac:dyDescent="0.25">
      <c r="B16" s="41" t="s">
        <v>118</v>
      </c>
      <c r="C16" s="31"/>
      <c r="D16" s="31"/>
      <c r="E16" s="31"/>
      <c r="F16" s="40"/>
      <c r="G16" s="45"/>
      <c r="H16" s="45"/>
      <c r="I16" s="32"/>
      <c r="J16" s="36"/>
      <c r="K16" s="31"/>
      <c r="L16" s="31"/>
      <c r="M16" s="31"/>
      <c r="N16" s="40"/>
      <c r="O16" s="31"/>
      <c r="P16" s="31"/>
      <c r="Q16" s="31"/>
      <c r="R16" s="40"/>
      <c r="S16" s="31"/>
      <c r="T16" s="31"/>
      <c r="U16" s="31"/>
      <c r="V16" s="10"/>
      <c r="W16" s="69"/>
      <c r="X16" s="13"/>
      <c r="Y16" s="13"/>
      <c r="Z16" s="12"/>
    </row>
    <row r="17" spans="2:26" x14ac:dyDescent="0.25">
      <c r="B17" s="42" t="s">
        <v>119</v>
      </c>
      <c r="C17" s="14"/>
      <c r="D17" s="14"/>
      <c r="E17" s="14"/>
      <c r="F17" s="38"/>
      <c r="G17" s="19"/>
      <c r="H17" s="19"/>
      <c r="I17" s="19"/>
      <c r="J17" s="34"/>
      <c r="K17" s="14"/>
      <c r="L17" s="14"/>
      <c r="M17" s="14"/>
      <c r="N17" s="38"/>
      <c r="O17" s="14"/>
      <c r="P17" s="14"/>
      <c r="Q17" s="14"/>
      <c r="R17" s="38"/>
      <c r="S17" s="14"/>
      <c r="T17" s="14"/>
      <c r="U17" s="14"/>
      <c r="V17" s="4"/>
      <c r="W17" s="71"/>
      <c r="X17" s="14"/>
      <c r="Y17" s="14"/>
      <c r="Z17" s="4"/>
    </row>
    <row r="18" spans="2:26" x14ac:dyDescent="0.25">
      <c r="B18" s="42" t="s">
        <v>120</v>
      </c>
      <c r="C18" s="14"/>
      <c r="D18" s="14"/>
      <c r="E18" s="14"/>
      <c r="F18" s="38"/>
      <c r="G18" s="19"/>
      <c r="H18" s="19"/>
      <c r="I18" s="19"/>
      <c r="J18" s="34"/>
      <c r="K18" s="14"/>
      <c r="L18" s="14"/>
      <c r="M18" s="14"/>
      <c r="N18" s="38"/>
      <c r="O18" s="14"/>
      <c r="P18" s="14"/>
      <c r="Q18" s="14"/>
      <c r="R18" s="38"/>
      <c r="S18" s="14"/>
      <c r="T18" s="14"/>
      <c r="U18" s="14"/>
      <c r="V18" s="4"/>
      <c r="W18" s="70"/>
      <c r="X18" s="31"/>
      <c r="Y18" s="31"/>
      <c r="Z18" s="10"/>
    </row>
    <row r="19" spans="2:26" ht="15.75" thickBot="1" x14ac:dyDescent="0.3">
      <c r="B19" s="5" t="s">
        <v>40</v>
      </c>
      <c r="C19" s="6">
        <f>SUM(C16:C18)</f>
        <v>0</v>
      </c>
      <c r="D19" s="6">
        <f t="shared" ref="D19:E19" si="28">SUM(D16:D18)</f>
        <v>0</v>
      </c>
      <c r="E19" s="6">
        <f t="shared" si="28"/>
        <v>0</v>
      </c>
      <c r="F19" s="39">
        <f>SUM(C19:E19)</f>
        <v>0</v>
      </c>
      <c r="G19" s="21" t="e">
        <f>AVERAGE(G16:G18)</f>
        <v>#DIV/0!</v>
      </c>
      <c r="H19" s="21" t="e">
        <f t="shared" ref="H19:I19" si="29">AVERAGE(H16:H18)</f>
        <v>#DIV/0!</v>
      </c>
      <c r="I19" s="21" t="e">
        <f t="shared" si="29"/>
        <v>#DIV/0!</v>
      </c>
      <c r="J19" s="35" t="e">
        <f>AVERAGE(G19:I19)</f>
        <v>#DIV/0!</v>
      </c>
      <c r="K19" s="6">
        <f>SUM(K16:K18)</f>
        <v>0</v>
      </c>
      <c r="L19" s="6">
        <f t="shared" ref="L19:M19" si="30">SUM(L16:L18)</f>
        <v>0</v>
      </c>
      <c r="M19" s="6">
        <f t="shared" si="30"/>
        <v>0</v>
      </c>
      <c r="N19" s="39">
        <f t="shared" si="4"/>
        <v>0</v>
      </c>
      <c r="O19" s="6">
        <f>SUM(O16:O18)</f>
        <v>0</v>
      </c>
      <c r="P19" s="6">
        <f t="shared" ref="P19:Q19" si="31">SUM(P16:P18)</f>
        <v>0</v>
      </c>
      <c r="Q19" s="6">
        <f t="shared" si="31"/>
        <v>0</v>
      </c>
      <c r="R19" s="39">
        <f t="shared" ref="R19" si="32">SUM(O19:Q19)</f>
        <v>0</v>
      </c>
      <c r="S19" s="6">
        <f>SUM(S16:S18)</f>
        <v>0</v>
      </c>
      <c r="T19" s="6">
        <f t="shared" ref="T19:U19" si="33">SUM(T16:T18)</f>
        <v>0</v>
      </c>
      <c r="U19" s="6">
        <f t="shared" si="33"/>
        <v>0</v>
      </c>
      <c r="V19" s="7">
        <f t="shared" ref="V19" si="34">SUM(S19:U19)</f>
        <v>0</v>
      </c>
      <c r="W19" s="6">
        <f>SUM(W16:W18)</f>
        <v>0</v>
      </c>
      <c r="X19" s="6">
        <f t="shared" ref="X19:Y19" si="35">SUM(X16:X18)</f>
        <v>0</v>
      </c>
      <c r="Y19" s="6">
        <f t="shared" si="35"/>
        <v>0</v>
      </c>
      <c r="Z19" s="6">
        <f>SUM(W19:Y19)</f>
        <v>0</v>
      </c>
    </row>
    <row r="21" spans="2:26" x14ac:dyDescent="0.25">
      <c r="B21" s="51"/>
      <c r="H21" s="67"/>
      <c r="I21" s="68"/>
      <c r="J21" s="66"/>
    </row>
    <row r="22" spans="2:26" x14ac:dyDescent="0.25">
      <c r="B22" s="2"/>
      <c r="C22" s="2"/>
    </row>
    <row r="23" spans="2:26" x14ac:dyDescent="0.25">
      <c r="B23" s="2"/>
      <c r="C23" s="2"/>
    </row>
    <row r="25" spans="2:26" x14ac:dyDescent="0.25">
      <c r="B25" t="s">
        <v>45</v>
      </c>
    </row>
    <row r="26" spans="2:26" x14ac:dyDescent="0.25">
      <c r="B26" t="s">
        <v>46</v>
      </c>
    </row>
    <row r="27" spans="2:26" x14ac:dyDescent="0.25">
      <c r="B27" t="s">
        <v>47</v>
      </c>
    </row>
  </sheetData>
  <mergeCells count="7">
    <mergeCell ref="W2:Z2"/>
    <mergeCell ref="S2:V2"/>
    <mergeCell ref="C2:F2"/>
    <mergeCell ref="B2:B3"/>
    <mergeCell ref="G2:J2"/>
    <mergeCell ref="K2:N2"/>
    <mergeCell ref="O2:R2"/>
  </mergeCells>
  <pageMargins left="0.7" right="0.7" top="0.75" bottom="0.75" header="0.3" footer="0.3"/>
  <pageSetup scale="83" fitToHeight="0" orientation="landscape" r:id="rId1"/>
  <ignoredErrors>
    <ignoredError sqref="N7 R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R24"/>
  <sheetViews>
    <sheetView topLeftCell="A5" workbookViewId="0">
      <selection activeCell="C4" sqref="C4"/>
    </sheetView>
  </sheetViews>
  <sheetFormatPr defaultRowHeight="15" x14ac:dyDescent="0.25"/>
  <cols>
    <col min="1" max="1" width="8" customWidth="1"/>
    <col min="2" max="2" width="52.5703125" bestFit="1" customWidth="1"/>
    <col min="3" max="3" width="7.140625" bestFit="1" customWidth="1"/>
    <col min="4" max="4" width="11.140625" bestFit="1" customWidth="1"/>
    <col min="5" max="6" width="10.140625" bestFit="1" customWidth="1"/>
    <col min="7" max="7" width="11.140625" customWidth="1"/>
    <col min="8" max="8" width="52.5703125" bestFit="1" customWidth="1"/>
    <col min="9" max="9" width="14.5703125" bestFit="1" customWidth="1"/>
    <col min="10" max="10" width="10.140625" bestFit="1" customWidth="1"/>
    <col min="11" max="11" width="7.85546875" bestFit="1" customWidth="1"/>
    <col min="12" max="12" width="3.85546875" customWidth="1"/>
    <col min="13" max="13" width="5.5703125" customWidth="1"/>
    <col min="14" max="14" width="52.5703125" bestFit="1" customWidth="1"/>
    <col min="15" max="15" width="20.42578125" bestFit="1" customWidth="1"/>
    <col min="16" max="16" width="4.140625" bestFit="1" customWidth="1"/>
    <col min="17" max="17" width="11.28515625" bestFit="1" customWidth="1"/>
    <col min="18" max="18" width="10.140625" bestFit="1" customWidth="1"/>
    <col min="19" max="19" width="11.28515625" bestFit="1" customWidth="1"/>
    <col min="20" max="20" width="11.28515625" customWidth="1"/>
    <col min="21" max="21" width="6.42578125" customWidth="1"/>
    <col min="22" max="22" width="4.140625" customWidth="1"/>
    <col min="23" max="23" width="6.5703125" customWidth="1"/>
    <col min="24" max="24" width="5.140625" customWidth="1"/>
    <col min="25" max="25" width="7.28515625" customWidth="1"/>
    <col min="26" max="26" width="11.28515625" bestFit="1" customWidth="1"/>
  </cols>
  <sheetData>
    <row r="3" spans="2:18" ht="89.25" customHeight="1" x14ac:dyDescent="0.25">
      <c r="B3" s="28" t="s">
        <v>25</v>
      </c>
      <c r="C3" t="s">
        <v>68</v>
      </c>
    </row>
    <row r="4" spans="2:18" x14ac:dyDescent="0.25">
      <c r="B4" s="28" t="s">
        <v>105</v>
      </c>
      <c r="C4" t="s">
        <v>68</v>
      </c>
      <c r="H4" s="28" t="s">
        <v>82</v>
      </c>
      <c r="I4" t="s">
        <v>68</v>
      </c>
      <c r="N4" s="28" t="s">
        <v>82</v>
      </c>
      <c r="O4" t="s">
        <v>68</v>
      </c>
    </row>
    <row r="6" spans="2:18" s="23" customFormat="1" ht="60" x14ac:dyDescent="0.25">
      <c r="B6" s="57" t="s">
        <v>73</v>
      </c>
      <c r="C6" s="57" t="s">
        <v>72</v>
      </c>
      <c r="E6"/>
      <c r="F6"/>
      <c r="H6" s="28" t="s">
        <v>69</v>
      </c>
      <c r="I6" s="23" t="s">
        <v>100</v>
      </c>
      <c r="J6" s="23" t="s">
        <v>102</v>
      </c>
      <c r="K6" s="23" t="s">
        <v>103</v>
      </c>
      <c r="N6" s="57" t="s">
        <v>83</v>
      </c>
      <c r="O6" s="57" t="s">
        <v>84</v>
      </c>
      <c r="R6"/>
    </row>
    <row r="7" spans="2:18" x14ac:dyDescent="0.25">
      <c r="B7" s="28" t="s">
        <v>69</v>
      </c>
      <c r="C7" t="s">
        <v>71</v>
      </c>
      <c r="D7" t="s">
        <v>70</v>
      </c>
      <c r="H7" s="29" t="s">
        <v>521</v>
      </c>
      <c r="I7" s="30">
        <v>6</v>
      </c>
      <c r="J7" s="30">
        <v>5</v>
      </c>
      <c r="K7" s="30">
        <v>291</v>
      </c>
      <c r="L7" s="30"/>
      <c r="N7" s="28" t="s">
        <v>69</v>
      </c>
      <c r="O7" t="s">
        <v>131</v>
      </c>
      <c r="P7" t="s">
        <v>132</v>
      </c>
      <c r="Q7" t="s">
        <v>70</v>
      </c>
    </row>
    <row r="8" spans="2:18" x14ac:dyDescent="0.25">
      <c r="B8" s="29" t="s">
        <v>521</v>
      </c>
      <c r="C8" s="30">
        <v>291</v>
      </c>
      <c r="D8" s="30">
        <v>291</v>
      </c>
      <c r="G8" s="30"/>
      <c r="H8" s="73" t="s">
        <v>167</v>
      </c>
      <c r="I8" s="30">
        <v>0</v>
      </c>
      <c r="J8" s="30">
        <v>0</v>
      </c>
      <c r="K8" s="30">
        <v>27</v>
      </c>
      <c r="L8" s="30"/>
      <c r="N8" s="29" t="s">
        <v>521</v>
      </c>
      <c r="O8" s="30">
        <v>258</v>
      </c>
      <c r="P8" s="30">
        <v>33</v>
      </c>
      <c r="Q8" s="30">
        <v>291</v>
      </c>
    </row>
    <row r="9" spans="2:18" x14ac:dyDescent="0.25">
      <c r="B9" s="73" t="s">
        <v>167</v>
      </c>
      <c r="C9" s="30">
        <v>27</v>
      </c>
      <c r="D9" s="30">
        <v>27</v>
      </c>
      <c r="G9" s="30"/>
      <c r="H9" s="73" t="s">
        <v>145</v>
      </c>
      <c r="I9" s="30">
        <v>0</v>
      </c>
      <c r="J9" s="30">
        <v>0</v>
      </c>
      <c r="K9" s="30">
        <v>37</v>
      </c>
      <c r="L9" s="30"/>
      <c r="N9" s="73" t="s">
        <v>167</v>
      </c>
      <c r="O9" s="30">
        <v>19</v>
      </c>
      <c r="P9" s="30">
        <v>8</v>
      </c>
      <c r="Q9" s="30">
        <v>27</v>
      </c>
    </row>
    <row r="10" spans="2:18" x14ac:dyDescent="0.25">
      <c r="B10" s="73" t="s">
        <v>145</v>
      </c>
      <c r="C10" s="30">
        <v>37</v>
      </c>
      <c r="D10" s="30">
        <v>37</v>
      </c>
      <c r="G10" s="30"/>
      <c r="H10" s="73" t="s">
        <v>127</v>
      </c>
      <c r="I10" s="30">
        <v>0</v>
      </c>
      <c r="J10" s="30">
        <v>0</v>
      </c>
      <c r="K10" s="30">
        <v>43</v>
      </c>
      <c r="L10" s="30"/>
      <c r="N10" s="73" t="s">
        <v>145</v>
      </c>
      <c r="O10" s="30">
        <v>31</v>
      </c>
      <c r="P10" s="30">
        <v>6</v>
      </c>
      <c r="Q10" s="30">
        <v>37</v>
      </c>
    </row>
    <row r="11" spans="2:18" x14ac:dyDescent="0.25">
      <c r="B11" s="73" t="s">
        <v>127</v>
      </c>
      <c r="C11" s="30">
        <v>43</v>
      </c>
      <c r="D11" s="30">
        <v>43</v>
      </c>
      <c r="G11" s="30"/>
      <c r="H11" s="73" t="s">
        <v>206</v>
      </c>
      <c r="I11" s="30">
        <v>0</v>
      </c>
      <c r="J11" s="30">
        <v>0</v>
      </c>
      <c r="K11" s="30">
        <v>15</v>
      </c>
      <c r="L11" s="30"/>
      <c r="N11" s="73" t="s">
        <v>127</v>
      </c>
      <c r="O11" s="30">
        <v>39</v>
      </c>
      <c r="P11" s="30">
        <v>4</v>
      </c>
      <c r="Q11" s="30">
        <v>43</v>
      </c>
    </row>
    <row r="12" spans="2:18" x14ac:dyDescent="0.25">
      <c r="B12" s="73" t="s">
        <v>206</v>
      </c>
      <c r="C12" s="30">
        <v>15</v>
      </c>
      <c r="D12" s="30">
        <v>15</v>
      </c>
      <c r="G12" s="30"/>
      <c r="H12" s="73" t="s">
        <v>190</v>
      </c>
      <c r="I12" s="30">
        <v>0</v>
      </c>
      <c r="J12" s="30">
        <v>0</v>
      </c>
      <c r="K12" s="30">
        <v>6</v>
      </c>
      <c r="L12" s="30"/>
      <c r="N12" s="73" t="s">
        <v>206</v>
      </c>
      <c r="O12" s="30">
        <v>15</v>
      </c>
      <c r="P12" s="30"/>
      <c r="Q12" s="30">
        <v>15</v>
      </c>
    </row>
    <row r="13" spans="2:18" x14ac:dyDescent="0.25">
      <c r="B13" s="73" t="s">
        <v>190</v>
      </c>
      <c r="C13" s="30">
        <v>6</v>
      </c>
      <c r="D13" s="30">
        <v>6</v>
      </c>
      <c r="G13" s="30"/>
      <c r="H13" s="73" t="s">
        <v>151</v>
      </c>
      <c r="I13" s="30">
        <v>1</v>
      </c>
      <c r="J13" s="30">
        <v>1</v>
      </c>
      <c r="K13" s="30">
        <v>44</v>
      </c>
      <c r="L13" s="30"/>
      <c r="N13" s="73" t="s">
        <v>190</v>
      </c>
      <c r="O13" s="30">
        <v>6</v>
      </c>
      <c r="P13" s="30"/>
      <c r="Q13" s="30">
        <v>6</v>
      </c>
    </row>
    <row r="14" spans="2:18" x14ac:dyDescent="0.25">
      <c r="B14" s="73" t="s">
        <v>151</v>
      </c>
      <c r="C14" s="30">
        <v>44</v>
      </c>
      <c r="D14" s="30">
        <v>44</v>
      </c>
      <c r="G14" s="30"/>
      <c r="H14" s="73" t="s">
        <v>157</v>
      </c>
      <c r="I14" s="30">
        <v>1</v>
      </c>
      <c r="J14" s="30">
        <v>1</v>
      </c>
      <c r="K14" s="30">
        <v>28</v>
      </c>
      <c r="L14" s="30"/>
      <c r="N14" s="73" t="s">
        <v>151</v>
      </c>
      <c r="O14" s="30">
        <v>39</v>
      </c>
      <c r="P14" s="30">
        <v>5</v>
      </c>
      <c r="Q14" s="30">
        <v>44</v>
      </c>
    </row>
    <row r="15" spans="2:18" x14ac:dyDescent="0.25">
      <c r="B15" s="73" t="s">
        <v>157</v>
      </c>
      <c r="C15" s="30">
        <v>28</v>
      </c>
      <c r="D15" s="30">
        <v>28</v>
      </c>
      <c r="G15" s="30"/>
      <c r="H15" s="73" t="s">
        <v>249</v>
      </c>
      <c r="I15" s="30">
        <v>0</v>
      </c>
      <c r="J15" s="30">
        <v>0</v>
      </c>
      <c r="K15" s="30">
        <v>6</v>
      </c>
      <c r="L15" s="30"/>
      <c r="N15" s="73" t="s">
        <v>157</v>
      </c>
      <c r="O15" s="30">
        <v>20</v>
      </c>
      <c r="P15" s="30">
        <v>8</v>
      </c>
      <c r="Q15" s="30">
        <v>28</v>
      </c>
    </row>
    <row r="16" spans="2:18" x14ac:dyDescent="0.25">
      <c r="B16" s="73" t="s">
        <v>249</v>
      </c>
      <c r="C16" s="30">
        <v>6</v>
      </c>
      <c r="D16" s="30">
        <v>6</v>
      </c>
      <c r="G16" s="30"/>
      <c r="H16" s="73" t="s">
        <v>136</v>
      </c>
      <c r="I16" s="30">
        <v>4</v>
      </c>
      <c r="J16" s="30">
        <v>3</v>
      </c>
      <c r="K16" s="30">
        <v>85</v>
      </c>
      <c r="L16" s="30"/>
      <c r="N16" s="73" t="s">
        <v>249</v>
      </c>
      <c r="O16" s="30">
        <v>6</v>
      </c>
      <c r="P16" s="30"/>
      <c r="Q16" s="30">
        <v>6</v>
      </c>
    </row>
    <row r="17" spans="2:17" x14ac:dyDescent="0.25">
      <c r="B17" s="73" t="s">
        <v>136</v>
      </c>
      <c r="C17" s="30">
        <v>85</v>
      </c>
      <c r="D17" s="30">
        <v>85</v>
      </c>
      <c r="G17" s="30"/>
      <c r="H17" s="29" t="s">
        <v>70</v>
      </c>
      <c r="I17" s="30">
        <v>6</v>
      </c>
      <c r="J17" s="30">
        <v>5</v>
      </c>
      <c r="K17" s="30">
        <v>291</v>
      </c>
      <c r="L17" s="30"/>
      <c r="N17" s="73" t="s">
        <v>136</v>
      </c>
      <c r="O17" s="30">
        <v>83</v>
      </c>
      <c r="P17" s="30">
        <v>2</v>
      </c>
      <c r="Q17" s="30">
        <v>85</v>
      </c>
    </row>
    <row r="18" spans="2:17" x14ac:dyDescent="0.25">
      <c r="B18" s="29" t="s">
        <v>70</v>
      </c>
      <c r="C18" s="30">
        <v>291</v>
      </c>
      <c r="D18" s="30">
        <v>291</v>
      </c>
      <c r="G18" s="30"/>
      <c r="L18" s="30"/>
      <c r="N18" s="29" t="s">
        <v>70</v>
      </c>
      <c r="O18" s="30">
        <v>258</v>
      </c>
      <c r="P18" s="30">
        <v>33</v>
      </c>
      <c r="Q18" s="30">
        <v>291</v>
      </c>
    </row>
    <row r="19" spans="2:17" x14ac:dyDescent="0.25">
      <c r="G19" s="30"/>
      <c r="L19" s="30"/>
    </row>
    <row r="20" spans="2:17" x14ac:dyDescent="0.25">
      <c r="G20" s="30"/>
      <c r="L20" s="30"/>
    </row>
    <row r="21" spans="2:17" x14ac:dyDescent="0.25">
      <c r="G21" s="30"/>
    </row>
    <row r="22" spans="2:17" x14ac:dyDescent="0.25">
      <c r="G22" s="30"/>
    </row>
    <row r="23" spans="2:17" x14ac:dyDescent="0.25">
      <c r="G23" s="30"/>
    </row>
    <row r="24" spans="2:17" x14ac:dyDescent="0.25">
      <c r="G24" s="30"/>
    </row>
  </sheetData>
  <pageMargins left="0.7" right="0.7" top="0.75" bottom="0.75" header="0.3" footer="0.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F15"/>
  <sheetViews>
    <sheetView workbookViewId="0">
      <selection activeCell="F4" sqref="F4"/>
    </sheetView>
  </sheetViews>
  <sheetFormatPr defaultRowHeight="15" x14ac:dyDescent="0.25"/>
  <cols>
    <col min="2" max="2" width="52.5703125" bestFit="1" customWidth="1"/>
    <col min="3" max="3" width="17.5703125" bestFit="1" customWidth="1"/>
    <col min="4" max="4" width="21.140625" bestFit="1" customWidth="1"/>
    <col min="5" max="5" width="20.5703125" bestFit="1" customWidth="1"/>
    <col min="6" max="6" width="9.7109375" bestFit="1" customWidth="1"/>
    <col min="7" max="7" width="88.7109375" bestFit="1" customWidth="1"/>
    <col min="8" max="11" width="68.7109375" bestFit="1" customWidth="1"/>
    <col min="12" max="12" width="67.7109375" bestFit="1" customWidth="1"/>
    <col min="13" max="16" width="68.7109375" bestFit="1" customWidth="1"/>
    <col min="17" max="20" width="67.7109375" bestFit="1" customWidth="1"/>
    <col min="21" max="21" width="86.28515625" bestFit="1" customWidth="1"/>
    <col min="22" max="22" width="74.85546875" bestFit="1" customWidth="1"/>
    <col min="23" max="23" width="48" bestFit="1" customWidth="1"/>
    <col min="24" max="24" width="60.42578125" bestFit="1" customWidth="1"/>
    <col min="25" max="25" width="70.85546875" bestFit="1" customWidth="1"/>
    <col min="26" max="26" width="52.28515625" bestFit="1" customWidth="1"/>
    <col min="27" max="27" width="52.5703125" bestFit="1" customWidth="1"/>
    <col min="28" max="28" width="61.5703125" bestFit="1" customWidth="1"/>
    <col min="29" max="29" width="75.7109375" bestFit="1" customWidth="1"/>
    <col min="30" max="30" width="173.140625" bestFit="1" customWidth="1"/>
    <col min="31" max="31" width="68.5703125" bestFit="1" customWidth="1"/>
    <col min="32" max="32" width="51.42578125" bestFit="1" customWidth="1"/>
    <col min="33" max="33" width="48.140625" bestFit="1" customWidth="1"/>
    <col min="34" max="34" width="45.28515625" bestFit="1" customWidth="1"/>
    <col min="35" max="35" width="75.5703125" bestFit="1" customWidth="1"/>
    <col min="36" max="36" width="63.5703125" bestFit="1" customWidth="1"/>
    <col min="37" max="37" width="64" bestFit="1" customWidth="1"/>
    <col min="38" max="38" width="52" bestFit="1" customWidth="1"/>
    <col min="39" max="39" width="59.85546875" bestFit="1" customWidth="1"/>
    <col min="40" max="40" width="74.85546875" bestFit="1" customWidth="1"/>
    <col min="41" max="41" width="54.5703125" bestFit="1" customWidth="1"/>
    <col min="42" max="42" width="67.28515625" bestFit="1" customWidth="1"/>
    <col min="43" max="43" width="64.42578125" bestFit="1" customWidth="1"/>
    <col min="44" max="44" width="53.42578125" bestFit="1" customWidth="1"/>
    <col min="45" max="45" width="78.5703125" bestFit="1" customWidth="1"/>
    <col min="46" max="46" width="83.7109375" bestFit="1" customWidth="1"/>
    <col min="47" max="47" width="48.7109375" bestFit="1" customWidth="1"/>
    <col min="48" max="48" width="131.28515625" bestFit="1" customWidth="1"/>
    <col min="49" max="49" width="55.42578125" bestFit="1" customWidth="1"/>
    <col min="50" max="50" width="48.5703125" bestFit="1" customWidth="1"/>
    <col min="51" max="51" width="74.85546875" bestFit="1" customWidth="1"/>
    <col min="52" max="52" width="26.85546875" bestFit="1" customWidth="1"/>
    <col min="53" max="53" width="76.42578125" bestFit="1" customWidth="1"/>
    <col min="54" max="54" width="48.28515625" bestFit="1" customWidth="1"/>
    <col min="55" max="55" width="40.85546875" bestFit="1" customWidth="1"/>
    <col min="56" max="56" width="74.42578125" bestFit="1" customWidth="1"/>
    <col min="57" max="57" width="42.5703125" bestFit="1" customWidth="1"/>
    <col min="58" max="58" width="34.140625" bestFit="1" customWidth="1"/>
    <col min="59" max="59" width="55.5703125" bestFit="1" customWidth="1"/>
    <col min="60" max="60" width="40.140625" bestFit="1" customWidth="1"/>
    <col min="61" max="61" width="42.85546875" bestFit="1" customWidth="1"/>
    <col min="62" max="62" width="62.28515625" bestFit="1" customWidth="1"/>
    <col min="63" max="63" width="49.7109375" bestFit="1" customWidth="1"/>
    <col min="64" max="64" width="35.5703125" bestFit="1" customWidth="1"/>
    <col min="65" max="65" width="88.5703125" bestFit="1" customWidth="1"/>
    <col min="66" max="66" width="61" bestFit="1" customWidth="1"/>
    <col min="67" max="67" width="35.42578125" bestFit="1" customWidth="1"/>
    <col min="68" max="68" width="64.7109375" bestFit="1" customWidth="1"/>
    <col min="69" max="69" width="35" bestFit="1" customWidth="1"/>
    <col min="70" max="70" width="33.42578125" bestFit="1" customWidth="1"/>
    <col min="71" max="71" width="56.42578125" bestFit="1" customWidth="1"/>
    <col min="72" max="72" width="50" bestFit="1" customWidth="1"/>
    <col min="73" max="73" width="99" bestFit="1" customWidth="1"/>
    <col min="74" max="74" width="61.42578125" bestFit="1" customWidth="1"/>
    <col min="75" max="75" width="27.7109375" bestFit="1" customWidth="1"/>
    <col min="76" max="76" width="50.7109375" bestFit="1" customWidth="1"/>
    <col min="77" max="77" width="61.42578125" bestFit="1" customWidth="1"/>
    <col min="78" max="78" width="51.42578125" bestFit="1" customWidth="1"/>
    <col min="79" max="79" width="61" bestFit="1" customWidth="1"/>
    <col min="80" max="80" width="49.28515625" bestFit="1" customWidth="1"/>
    <col min="81" max="81" width="22.7109375" bestFit="1" customWidth="1"/>
    <col min="82" max="82" width="28.28515625" bestFit="1" customWidth="1"/>
    <col min="83" max="83" width="83.5703125" bestFit="1" customWidth="1"/>
    <col min="84" max="84" width="42.42578125" bestFit="1" customWidth="1"/>
    <col min="85" max="85" width="57.7109375" bestFit="1" customWidth="1"/>
    <col min="86" max="86" width="54.28515625" bestFit="1" customWidth="1"/>
    <col min="87" max="87" width="59.5703125" bestFit="1" customWidth="1"/>
    <col min="88" max="88" width="51.7109375" bestFit="1" customWidth="1"/>
    <col min="89" max="89" width="67.85546875" bestFit="1" customWidth="1"/>
    <col min="90" max="90" width="61" bestFit="1" customWidth="1"/>
    <col min="91" max="91" width="68.28515625" bestFit="1" customWidth="1"/>
    <col min="92" max="92" width="143.85546875" bestFit="1" customWidth="1"/>
    <col min="93" max="93" width="44.42578125" bestFit="1" customWidth="1"/>
    <col min="94" max="94" width="91.28515625" bestFit="1" customWidth="1"/>
    <col min="95" max="95" width="79.5703125" bestFit="1" customWidth="1"/>
    <col min="96" max="96" width="39.7109375" bestFit="1" customWidth="1"/>
    <col min="97" max="97" width="61.7109375" bestFit="1" customWidth="1"/>
    <col min="98" max="98" width="32.42578125" bestFit="1" customWidth="1"/>
    <col min="99" max="99" width="52.28515625" bestFit="1" customWidth="1"/>
    <col min="100" max="100" width="51.140625" bestFit="1" customWidth="1"/>
    <col min="101" max="101" width="67" bestFit="1" customWidth="1"/>
    <col min="102" max="103" width="39.140625" bestFit="1" customWidth="1"/>
    <col min="104" max="104" width="42.7109375" bestFit="1" customWidth="1"/>
    <col min="105" max="105" width="37.28515625" bestFit="1" customWidth="1"/>
    <col min="106" max="106" width="28.42578125" bestFit="1" customWidth="1"/>
    <col min="107" max="107" width="45.5703125" bestFit="1" customWidth="1"/>
    <col min="108" max="108" width="46" bestFit="1" customWidth="1"/>
    <col min="109" max="109" width="34.42578125" bestFit="1" customWidth="1"/>
    <col min="110" max="110" width="53.140625" bestFit="1" customWidth="1"/>
    <col min="111" max="111" width="77.28515625" bestFit="1" customWidth="1"/>
    <col min="112" max="112" width="53.140625" bestFit="1" customWidth="1"/>
    <col min="113" max="113" width="39.28515625" bestFit="1" customWidth="1"/>
    <col min="114" max="114" width="40" bestFit="1" customWidth="1"/>
    <col min="115" max="115" width="37" bestFit="1" customWidth="1"/>
    <col min="116" max="116" width="48.28515625" bestFit="1" customWidth="1"/>
    <col min="117" max="117" width="36.5703125" bestFit="1" customWidth="1"/>
    <col min="118" max="118" width="25.28515625" bestFit="1" customWidth="1"/>
    <col min="119" max="119" width="15.7109375" bestFit="1" customWidth="1"/>
    <col min="120" max="120" width="75.7109375" bestFit="1" customWidth="1"/>
    <col min="121" max="121" width="37.7109375" bestFit="1" customWidth="1"/>
    <col min="122" max="122" width="22" bestFit="1" customWidth="1"/>
    <col min="123" max="123" width="39" bestFit="1" customWidth="1"/>
    <col min="124" max="124" width="45.140625" bestFit="1" customWidth="1"/>
    <col min="125" max="125" width="59.42578125" bestFit="1" customWidth="1"/>
    <col min="126" max="126" width="44" bestFit="1" customWidth="1"/>
    <col min="127" max="127" width="45.28515625" bestFit="1" customWidth="1"/>
    <col min="128" max="128" width="45.42578125" bestFit="1" customWidth="1"/>
    <col min="129" max="129" width="30.28515625" bestFit="1" customWidth="1"/>
    <col min="130" max="130" width="31.7109375" bestFit="1" customWidth="1"/>
    <col min="131" max="131" width="57.85546875" bestFit="1" customWidth="1"/>
    <col min="132" max="132" width="60" bestFit="1" customWidth="1"/>
    <col min="133" max="133" width="114.140625" bestFit="1" customWidth="1"/>
    <col min="134" max="134" width="49.42578125" bestFit="1" customWidth="1"/>
    <col min="135" max="135" width="40.7109375" bestFit="1" customWidth="1"/>
    <col min="136" max="136" width="58.28515625" bestFit="1" customWidth="1"/>
    <col min="137" max="137" width="28" bestFit="1" customWidth="1"/>
    <col min="138" max="138" width="49.42578125" bestFit="1" customWidth="1"/>
    <col min="139" max="139" width="56" bestFit="1" customWidth="1"/>
    <col min="140" max="140" width="76" bestFit="1" customWidth="1"/>
    <col min="141" max="141" width="43.7109375" bestFit="1" customWidth="1"/>
    <col min="142" max="142" width="47.42578125" bestFit="1" customWidth="1"/>
    <col min="143" max="143" width="68" bestFit="1" customWidth="1"/>
    <col min="144" max="144" width="55.85546875" bestFit="1" customWidth="1"/>
    <col min="145" max="145" width="72.85546875" bestFit="1" customWidth="1"/>
    <col min="146" max="146" width="87.140625" bestFit="1" customWidth="1"/>
    <col min="147" max="147" width="23.7109375" bestFit="1" customWidth="1"/>
    <col min="148" max="148" width="71.140625" bestFit="1" customWidth="1"/>
    <col min="149" max="149" width="58.85546875" bestFit="1" customWidth="1"/>
    <col min="150" max="150" width="43.7109375" bestFit="1" customWidth="1"/>
    <col min="151" max="151" width="49.7109375" bestFit="1" customWidth="1"/>
    <col min="152" max="152" width="59" bestFit="1" customWidth="1"/>
    <col min="153" max="153" width="63.85546875" bestFit="1" customWidth="1"/>
    <col min="154" max="154" width="80.140625" bestFit="1" customWidth="1"/>
    <col min="155" max="155" width="68" bestFit="1" customWidth="1"/>
    <col min="156" max="156" width="42.28515625" bestFit="1" customWidth="1"/>
    <col min="157" max="157" width="51" bestFit="1" customWidth="1"/>
    <col min="158" max="158" width="67" bestFit="1" customWidth="1"/>
    <col min="159" max="159" width="60.28515625" bestFit="1" customWidth="1"/>
    <col min="160" max="160" width="25.7109375" bestFit="1" customWidth="1"/>
    <col min="161" max="161" width="52.140625" bestFit="1" customWidth="1"/>
    <col min="162" max="162" width="46" bestFit="1" customWidth="1"/>
    <col min="163" max="163" width="28.28515625" bestFit="1" customWidth="1"/>
    <col min="164" max="164" width="47.7109375" bestFit="1" customWidth="1"/>
    <col min="165" max="165" width="62.85546875" bestFit="1" customWidth="1"/>
    <col min="166" max="166" width="43" bestFit="1" customWidth="1"/>
    <col min="167" max="167" width="51.28515625" bestFit="1" customWidth="1"/>
    <col min="168" max="168" width="68.28515625" bestFit="1" customWidth="1"/>
    <col min="169" max="169" width="64.85546875" bestFit="1" customWidth="1"/>
    <col min="170" max="170" width="38.28515625" bestFit="1" customWidth="1"/>
    <col min="171" max="171" width="49.5703125" bestFit="1" customWidth="1"/>
    <col min="172" max="172" width="46.5703125" bestFit="1" customWidth="1"/>
    <col min="173" max="173" width="59" bestFit="1" customWidth="1"/>
    <col min="174" max="174" width="40.28515625" bestFit="1" customWidth="1"/>
    <col min="175" max="175" width="46.7109375" bestFit="1" customWidth="1"/>
    <col min="176" max="176" width="72.7109375" bestFit="1" customWidth="1"/>
    <col min="177" max="177" width="61.5703125" bestFit="1" customWidth="1"/>
    <col min="178" max="178" width="76.7109375" bestFit="1" customWidth="1"/>
    <col min="179" max="179" width="22.7109375" bestFit="1" customWidth="1"/>
    <col min="180" max="180" width="69.5703125" bestFit="1" customWidth="1"/>
    <col min="181" max="181" width="60" bestFit="1" customWidth="1"/>
    <col min="182" max="182" width="32.28515625" bestFit="1" customWidth="1"/>
    <col min="183" max="183" width="48" bestFit="1" customWidth="1"/>
    <col min="184" max="184" width="99.42578125" bestFit="1" customWidth="1"/>
    <col min="185" max="185" width="57.7109375" bestFit="1" customWidth="1"/>
    <col min="186" max="186" width="47.5703125" bestFit="1" customWidth="1"/>
    <col min="187" max="187" width="44.5703125" bestFit="1" customWidth="1"/>
    <col min="188" max="188" width="74.5703125" bestFit="1" customWidth="1"/>
    <col min="189" max="189" width="22.140625" bestFit="1" customWidth="1"/>
    <col min="190" max="190" width="58.28515625" bestFit="1" customWidth="1"/>
    <col min="191" max="191" width="67.5703125" bestFit="1" customWidth="1"/>
    <col min="192" max="192" width="27" bestFit="1" customWidth="1"/>
    <col min="193" max="193" width="61.42578125" bestFit="1" customWidth="1"/>
    <col min="194" max="194" width="40" bestFit="1" customWidth="1"/>
    <col min="195" max="195" width="28.28515625" bestFit="1" customWidth="1"/>
    <col min="196" max="196" width="24.7109375" bestFit="1" customWidth="1"/>
    <col min="197" max="197" width="36.5703125" bestFit="1" customWidth="1"/>
    <col min="198" max="198" width="41" bestFit="1" customWidth="1"/>
    <col min="199" max="200" width="38.7109375" bestFit="1" customWidth="1"/>
    <col min="201" max="201" width="37.5703125" bestFit="1" customWidth="1"/>
    <col min="202" max="202" width="39.5703125" bestFit="1" customWidth="1"/>
    <col min="203" max="203" width="40" bestFit="1" customWidth="1"/>
    <col min="204" max="204" width="39" bestFit="1" customWidth="1"/>
    <col min="205" max="205" width="40.5703125" bestFit="1" customWidth="1"/>
    <col min="206" max="206" width="75" bestFit="1" customWidth="1"/>
    <col min="207" max="207" width="37.140625" bestFit="1" customWidth="1"/>
    <col min="208" max="208" width="49.42578125" bestFit="1" customWidth="1"/>
    <col min="209" max="209" width="68.5703125" bestFit="1" customWidth="1"/>
    <col min="210" max="210" width="30.5703125" bestFit="1" customWidth="1"/>
    <col min="211" max="211" width="68" bestFit="1" customWidth="1"/>
    <col min="212" max="212" width="59" bestFit="1" customWidth="1"/>
    <col min="213" max="213" width="45.5703125" bestFit="1" customWidth="1"/>
    <col min="214" max="214" width="44.7109375" bestFit="1" customWidth="1"/>
    <col min="215" max="215" width="33" bestFit="1" customWidth="1"/>
    <col min="216" max="216" width="34.140625" bestFit="1" customWidth="1"/>
    <col min="217" max="217" width="57.85546875" bestFit="1" customWidth="1"/>
    <col min="218" max="218" width="45" bestFit="1" customWidth="1"/>
    <col min="219" max="219" width="34.140625" bestFit="1" customWidth="1"/>
    <col min="220" max="220" width="35" bestFit="1" customWidth="1"/>
    <col min="221" max="221" width="37.5703125" bestFit="1" customWidth="1"/>
    <col min="222" max="222" width="70.7109375" bestFit="1" customWidth="1"/>
    <col min="223" max="223" width="46.5703125" bestFit="1" customWidth="1"/>
    <col min="224" max="224" width="135.7109375" bestFit="1" customWidth="1"/>
    <col min="225" max="225" width="65.5703125" bestFit="1" customWidth="1"/>
    <col min="226" max="226" width="113.42578125" bestFit="1" customWidth="1"/>
    <col min="227" max="227" width="70.7109375" bestFit="1" customWidth="1"/>
    <col min="228" max="228" width="60.5703125" bestFit="1" customWidth="1"/>
    <col min="229" max="229" width="49.140625" bestFit="1" customWidth="1"/>
    <col min="230" max="230" width="65.28515625" bestFit="1" customWidth="1"/>
    <col min="231" max="231" width="46.5703125" bestFit="1" customWidth="1"/>
    <col min="232" max="232" width="29.7109375" bestFit="1" customWidth="1"/>
    <col min="233" max="233" width="37.140625" bestFit="1" customWidth="1"/>
    <col min="234" max="234" width="42.7109375" bestFit="1" customWidth="1"/>
    <col min="235" max="235" width="95.140625" bestFit="1" customWidth="1"/>
    <col min="236" max="236" width="52.85546875" bestFit="1" customWidth="1"/>
    <col min="237" max="237" width="24.7109375" bestFit="1" customWidth="1"/>
    <col min="238" max="238" width="81.140625" bestFit="1" customWidth="1"/>
    <col min="239" max="239" width="63" bestFit="1" customWidth="1"/>
    <col min="240" max="240" width="51.42578125" bestFit="1" customWidth="1"/>
    <col min="241" max="241" width="58.140625" bestFit="1" customWidth="1"/>
    <col min="242" max="242" width="43" bestFit="1" customWidth="1"/>
    <col min="243" max="243" width="53.42578125" bestFit="1" customWidth="1"/>
    <col min="244" max="244" width="47.5703125" bestFit="1" customWidth="1"/>
    <col min="245" max="245" width="28.5703125" bestFit="1" customWidth="1"/>
    <col min="246" max="246" width="96.5703125" bestFit="1" customWidth="1"/>
    <col min="247" max="247" width="56" bestFit="1" customWidth="1"/>
    <col min="248" max="248" width="134.5703125" bestFit="1" customWidth="1"/>
    <col min="249" max="249" width="36.85546875" bestFit="1" customWidth="1"/>
    <col min="250" max="250" width="53.28515625" bestFit="1" customWidth="1"/>
    <col min="251" max="251" width="50.7109375" bestFit="1" customWidth="1"/>
    <col min="252" max="252" width="48.140625" bestFit="1" customWidth="1"/>
    <col min="253" max="253" width="69" bestFit="1" customWidth="1"/>
    <col min="254" max="254" width="60.5703125" bestFit="1" customWidth="1"/>
    <col min="255" max="255" width="46.7109375" bestFit="1" customWidth="1"/>
    <col min="256" max="256" width="19" bestFit="1" customWidth="1"/>
    <col min="257" max="257" width="55.140625" bestFit="1" customWidth="1"/>
    <col min="258" max="258" width="83.140625" bestFit="1" customWidth="1"/>
    <col min="259" max="259" width="50.85546875" bestFit="1" customWidth="1"/>
    <col min="260" max="260" width="79.42578125" bestFit="1" customWidth="1"/>
    <col min="261" max="261" width="115.42578125" bestFit="1" customWidth="1"/>
    <col min="262" max="262" width="85.28515625" bestFit="1" customWidth="1"/>
    <col min="263" max="263" width="90.85546875" bestFit="1" customWidth="1"/>
    <col min="264" max="264" width="57.7109375" bestFit="1" customWidth="1"/>
    <col min="265" max="265" width="31.85546875" bestFit="1" customWidth="1"/>
    <col min="266" max="266" width="41" bestFit="1" customWidth="1"/>
    <col min="267" max="267" width="42.85546875" bestFit="1" customWidth="1"/>
    <col min="268" max="268" width="43.28515625" bestFit="1" customWidth="1"/>
    <col min="269" max="269" width="41.85546875" bestFit="1" customWidth="1"/>
    <col min="270" max="270" width="42.42578125" bestFit="1" customWidth="1"/>
    <col min="271" max="271" width="38" bestFit="1" customWidth="1"/>
    <col min="272" max="272" width="40.85546875" bestFit="1" customWidth="1"/>
    <col min="273" max="273" width="40.5703125" bestFit="1" customWidth="1"/>
    <col min="274" max="274" width="44.5703125" bestFit="1" customWidth="1"/>
    <col min="275" max="275" width="105.5703125" bestFit="1" customWidth="1"/>
    <col min="276" max="276" width="25.140625" bestFit="1" customWidth="1"/>
    <col min="277" max="277" width="43.42578125" bestFit="1" customWidth="1"/>
    <col min="278" max="278" width="42.7109375" bestFit="1" customWidth="1"/>
    <col min="279" max="279" width="39.28515625" bestFit="1" customWidth="1"/>
    <col min="280" max="280" width="41.140625" bestFit="1" customWidth="1"/>
    <col min="281" max="281" width="73.42578125" bestFit="1" customWidth="1"/>
    <col min="282" max="282" width="67.85546875" bestFit="1" customWidth="1"/>
    <col min="283" max="283" width="49" bestFit="1" customWidth="1"/>
    <col min="284" max="284" width="54.28515625" bestFit="1" customWidth="1"/>
    <col min="285" max="285" width="65" bestFit="1" customWidth="1"/>
    <col min="286" max="286" width="53.85546875" bestFit="1" customWidth="1"/>
    <col min="287" max="287" width="73.42578125" bestFit="1" customWidth="1"/>
    <col min="288" max="288" width="61.42578125" bestFit="1" customWidth="1"/>
    <col min="289" max="289" width="50" bestFit="1" customWidth="1"/>
    <col min="290" max="290" width="91.5703125" bestFit="1" customWidth="1"/>
    <col min="291" max="291" width="102.28515625" bestFit="1" customWidth="1"/>
    <col min="292" max="292" width="88.7109375" bestFit="1" customWidth="1"/>
    <col min="293" max="296" width="68.7109375" bestFit="1" customWidth="1"/>
    <col min="297" max="297" width="67.7109375" bestFit="1" customWidth="1"/>
    <col min="298" max="301" width="68.7109375" bestFit="1" customWidth="1"/>
    <col min="302" max="305" width="67.7109375" bestFit="1" customWidth="1"/>
    <col min="306" max="306" width="86.28515625" bestFit="1" customWidth="1"/>
    <col min="307" max="307" width="74.85546875" bestFit="1" customWidth="1"/>
    <col min="308" max="308" width="48" bestFit="1" customWidth="1"/>
    <col min="309" max="309" width="60.42578125" bestFit="1" customWidth="1"/>
    <col min="310" max="310" width="70.85546875" bestFit="1" customWidth="1"/>
    <col min="311" max="311" width="52.28515625" bestFit="1" customWidth="1"/>
    <col min="312" max="312" width="52.5703125" bestFit="1" customWidth="1"/>
    <col min="313" max="313" width="61.5703125" bestFit="1" customWidth="1"/>
    <col min="314" max="314" width="75.7109375" bestFit="1" customWidth="1"/>
    <col min="315" max="315" width="173.140625" bestFit="1" customWidth="1"/>
    <col min="316" max="316" width="68.5703125" bestFit="1" customWidth="1"/>
    <col min="317" max="317" width="51.42578125" bestFit="1" customWidth="1"/>
    <col min="318" max="318" width="48.140625" bestFit="1" customWidth="1"/>
    <col min="319" max="319" width="45.28515625" bestFit="1" customWidth="1"/>
    <col min="320" max="320" width="75.5703125" bestFit="1" customWidth="1"/>
    <col min="321" max="321" width="63.5703125" bestFit="1" customWidth="1"/>
    <col min="322" max="322" width="64" bestFit="1" customWidth="1"/>
    <col min="323" max="323" width="52" bestFit="1" customWidth="1"/>
    <col min="324" max="324" width="59.85546875" bestFit="1" customWidth="1"/>
    <col min="325" max="325" width="74.85546875" bestFit="1" customWidth="1"/>
    <col min="326" max="326" width="54.5703125" bestFit="1" customWidth="1"/>
    <col min="327" max="327" width="67.28515625" bestFit="1" customWidth="1"/>
    <col min="328" max="328" width="64.42578125" bestFit="1" customWidth="1"/>
    <col min="329" max="329" width="53.42578125" bestFit="1" customWidth="1"/>
    <col min="330" max="330" width="78.5703125" bestFit="1" customWidth="1"/>
    <col min="331" max="331" width="83.7109375" bestFit="1" customWidth="1"/>
    <col min="332" max="332" width="48.7109375" bestFit="1" customWidth="1"/>
    <col min="333" max="333" width="131.28515625" bestFit="1" customWidth="1"/>
    <col min="334" max="334" width="55.42578125" bestFit="1" customWidth="1"/>
    <col min="335" max="335" width="48.5703125" bestFit="1" customWidth="1"/>
    <col min="336" max="336" width="74.85546875" bestFit="1" customWidth="1"/>
    <col min="337" max="337" width="26.85546875" bestFit="1" customWidth="1"/>
    <col min="338" max="338" width="76.42578125" bestFit="1" customWidth="1"/>
    <col min="339" max="339" width="48.28515625" bestFit="1" customWidth="1"/>
    <col min="340" max="340" width="40.85546875" bestFit="1" customWidth="1"/>
    <col min="341" max="341" width="74.42578125" bestFit="1" customWidth="1"/>
    <col min="342" max="342" width="42.5703125" bestFit="1" customWidth="1"/>
    <col min="343" max="343" width="34.140625" bestFit="1" customWidth="1"/>
    <col min="344" max="344" width="55.5703125" bestFit="1" customWidth="1"/>
    <col min="345" max="345" width="40.140625" bestFit="1" customWidth="1"/>
    <col min="346" max="346" width="42.85546875" bestFit="1" customWidth="1"/>
    <col min="347" max="347" width="62.28515625" bestFit="1" customWidth="1"/>
    <col min="348" max="348" width="49.7109375" bestFit="1" customWidth="1"/>
    <col min="349" max="349" width="35.5703125" bestFit="1" customWidth="1"/>
    <col min="350" max="350" width="88.5703125" bestFit="1" customWidth="1"/>
    <col min="351" max="351" width="61" bestFit="1" customWidth="1"/>
    <col min="352" max="352" width="35.42578125" bestFit="1" customWidth="1"/>
    <col min="353" max="353" width="64.7109375" bestFit="1" customWidth="1"/>
    <col min="354" max="354" width="35" bestFit="1" customWidth="1"/>
    <col min="355" max="355" width="33.42578125" bestFit="1" customWidth="1"/>
    <col min="356" max="356" width="56.42578125" bestFit="1" customWidth="1"/>
    <col min="357" max="357" width="50" bestFit="1" customWidth="1"/>
    <col min="358" max="358" width="99" bestFit="1" customWidth="1"/>
    <col min="359" max="359" width="61.42578125" bestFit="1" customWidth="1"/>
    <col min="360" max="360" width="27.7109375" bestFit="1" customWidth="1"/>
    <col min="361" max="361" width="50.7109375" bestFit="1" customWidth="1"/>
    <col min="362" max="362" width="61.42578125" bestFit="1" customWidth="1"/>
    <col min="363" max="363" width="51.42578125" bestFit="1" customWidth="1"/>
    <col min="364" max="364" width="61" bestFit="1" customWidth="1"/>
    <col min="365" max="365" width="49.28515625" bestFit="1" customWidth="1"/>
    <col min="366" max="366" width="22.7109375" bestFit="1" customWidth="1"/>
    <col min="367" max="367" width="28.28515625" bestFit="1" customWidth="1"/>
    <col min="368" max="368" width="83.5703125" bestFit="1" customWidth="1"/>
    <col min="369" max="369" width="42.42578125" bestFit="1" customWidth="1"/>
    <col min="370" max="370" width="57.7109375" bestFit="1" customWidth="1"/>
    <col min="371" max="371" width="54.28515625" bestFit="1" customWidth="1"/>
    <col min="372" max="372" width="59.5703125" bestFit="1" customWidth="1"/>
    <col min="373" max="373" width="51.7109375" bestFit="1" customWidth="1"/>
    <col min="374" max="374" width="67.85546875" bestFit="1" customWidth="1"/>
    <col min="375" max="375" width="61" bestFit="1" customWidth="1"/>
    <col min="376" max="376" width="68.28515625" bestFit="1" customWidth="1"/>
    <col min="377" max="377" width="143.85546875" bestFit="1" customWidth="1"/>
    <col min="378" max="378" width="44.42578125" bestFit="1" customWidth="1"/>
    <col min="379" max="379" width="91.28515625" bestFit="1" customWidth="1"/>
    <col min="380" max="380" width="79.5703125" bestFit="1" customWidth="1"/>
    <col min="381" max="381" width="39.7109375" bestFit="1" customWidth="1"/>
    <col min="382" max="382" width="61.7109375" bestFit="1" customWidth="1"/>
    <col min="383" max="383" width="32.42578125" bestFit="1" customWidth="1"/>
    <col min="384" max="384" width="52.28515625" bestFit="1" customWidth="1"/>
    <col min="385" max="385" width="51.140625" bestFit="1" customWidth="1"/>
    <col min="386" max="386" width="67" bestFit="1" customWidth="1"/>
    <col min="387" max="388" width="39.140625" bestFit="1" customWidth="1"/>
    <col min="389" max="389" width="42.7109375" bestFit="1" customWidth="1"/>
    <col min="390" max="390" width="37.28515625" bestFit="1" customWidth="1"/>
    <col min="391" max="391" width="28.42578125" bestFit="1" customWidth="1"/>
    <col min="392" max="392" width="45.5703125" bestFit="1" customWidth="1"/>
    <col min="393" max="393" width="46" bestFit="1" customWidth="1"/>
    <col min="394" max="394" width="34.42578125" bestFit="1" customWidth="1"/>
    <col min="395" max="395" width="53.140625" bestFit="1" customWidth="1"/>
    <col min="396" max="396" width="77.28515625" bestFit="1" customWidth="1"/>
    <col min="397" max="397" width="53.140625" bestFit="1" customWidth="1"/>
    <col min="398" max="398" width="39.28515625" bestFit="1" customWidth="1"/>
    <col min="399" max="399" width="40" bestFit="1" customWidth="1"/>
    <col min="400" max="400" width="37" bestFit="1" customWidth="1"/>
    <col min="401" max="401" width="48.28515625" bestFit="1" customWidth="1"/>
    <col min="402" max="402" width="36.5703125" bestFit="1" customWidth="1"/>
    <col min="403" max="403" width="25.28515625" bestFit="1" customWidth="1"/>
    <col min="404" max="404" width="15.7109375" bestFit="1" customWidth="1"/>
    <col min="405" max="405" width="75.7109375" bestFit="1" customWidth="1"/>
    <col min="406" max="406" width="37.7109375" bestFit="1" customWidth="1"/>
    <col min="407" max="407" width="22" bestFit="1" customWidth="1"/>
    <col min="408" max="408" width="39" bestFit="1" customWidth="1"/>
    <col min="409" max="409" width="45.140625" bestFit="1" customWidth="1"/>
    <col min="410" max="410" width="59.42578125" bestFit="1" customWidth="1"/>
    <col min="411" max="411" width="44" bestFit="1" customWidth="1"/>
    <col min="412" max="412" width="45.28515625" bestFit="1" customWidth="1"/>
    <col min="413" max="413" width="45.42578125" bestFit="1" customWidth="1"/>
    <col min="414" max="414" width="30.28515625" bestFit="1" customWidth="1"/>
    <col min="415" max="415" width="31.7109375" bestFit="1" customWidth="1"/>
    <col min="416" max="416" width="57.85546875" bestFit="1" customWidth="1"/>
    <col min="417" max="417" width="60" bestFit="1" customWidth="1"/>
    <col min="418" max="418" width="114.140625" bestFit="1" customWidth="1"/>
    <col min="419" max="419" width="49.42578125" bestFit="1" customWidth="1"/>
    <col min="420" max="420" width="40.7109375" bestFit="1" customWidth="1"/>
    <col min="421" max="421" width="58.28515625" bestFit="1" customWidth="1"/>
    <col min="422" max="422" width="28" bestFit="1" customWidth="1"/>
    <col min="423" max="423" width="49.42578125" bestFit="1" customWidth="1"/>
    <col min="424" max="424" width="56" bestFit="1" customWidth="1"/>
    <col min="425" max="425" width="76" bestFit="1" customWidth="1"/>
    <col min="426" max="426" width="43.7109375" bestFit="1" customWidth="1"/>
    <col min="427" max="427" width="47.42578125" bestFit="1" customWidth="1"/>
    <col min="428" max="428" width="68" bestFit="1" customWidth="1"/>
    <col min="429" max="429" width="55.85546875" bestFit="1" customWidth="1"/>
    <col min="430" max="430" width="72.85546875" bestFit="1" customWidth="1"/>
    <col min="431" max="431" width="87.140625" bestFit="1" customWidth="1"/>
    <col min="432" max="432" width="23.7109375" bestFit="1" customWidth="1"/>
    <col min="433" max="433" width="71.140625" bestFit="1" customWidth="1"/>
    <col min="434" max="434" width="58.85546875" bestFit="1" customWidth="1"/>
    <col min="435" max="435" width="43.7109375" bestFit="1" customWidth="1"/>
    <col min="436" max="436" width="49.7109375" bestFit="1" customWidth="1"/>
    <col min="437" max="437" width="59" bestFit="1" customWidth="1"/>
    <col min="438" max="438" width="63.85546875" bestFit="1" customWidth="1"/>
    <col min="439" max="439" width="80.140625" bestFit="1" customWidth="1"/>
    <col min="440" max="440" width="68" bestFit="1" customWidth="1"/>
    <col min="441" max="441" width="42.28515625" bestFit="1" customWidth="1"/>
    <col min="442" max="442" width="51" bestFit="1" customWidth="1"/>
    <col min="443" max="443" width="67" bestFit="1" customWidth="1"/>
    <col min="444" max="444" width="60.28515625" bestFit="1" customWidth="1"/>
    <col min="445" max="445" width="25.7109375" bestFit="1" customWidth="1"/>
    <col min="446" max="446" width="52.140625" bestFit="1" customWidth="1"/>
    <col min="447" max="447" width="46" bestFit="1" customWidth="1"/>
    <col min="448" max="448" width="28.28515625" bestFit="1" customWidth="1"/>
    <col min="449" max="449" width="47.7109375" bestFit="1" customWidth="1"/>
    <col min="450" max="450" width="62.85546875" bestFit="1" customWidth="1"/>
    <col min="451" max="451" width="43" bestFit="1" customWidth="1"/>
    <col min="452" max="452" width="51.28515625" bestFit="1" customWidth="1"/>
    <col min="453" max="453" width="68.28515625" bestFit="1" customWidth="1"/>
    <col min="454" max="454" width="64.85546875" bestFit="1" customWidth="1"/>
    <col min="455" max="455" width="38.28515625" bestFit="1" customWidth="1"/>
    <col min="456" max="456" width="49.5703125" bestFit="1" customWidth="1"/>
    <col min="457" max="457" width="46.5703125" bestFit="1" customWidth="1"/>
    <col min="458" max="458" width="59" bestFit="1" customWidth="1"/>
    <col min="459" max="459" width="40.28515625" bestFit="1" customWidth="1"/>
    <col min="460" max="460" width="46.7109375" bestFit="1" customWidth="1"/>
    <col min="461" max="461" width="72.7109375" bestFit="1" customWidth="1"/>
    <col min="462" max="462" width="61.5703125" bestFit="1" customWidth="1"/>
    <col min="463" max="463" width="76.7109375" bestFit="1" customWidth="1"/>
    <col min="464" max="464" width="22.7109375" bestFit="1" customWidth="1"/>
    <col min="465" max="465" width="69.5703125" bestFit="1" customWidth="1"/>
    <col min="466" max="466" width="60" bestFit="1" customWidth="1"/>
    <col min="467" max="467" width="32.28515625" bestFit="1" customWidth="1"/>
    <col min="468" max="468" width="48" bestFit="1" customWidth="1"/>
    <col min="469" max="469" width="99.42578125" bestFit="1" customWidth="1"/>
    <col min="470" max="470" width="57.7109375" bestFit="1" customWidth="1"/>
    <col min="471" max="471" width="47.5703125" bestFit="1" customWidth="1"/>
    <col min="472" max="472" width="44.5703125" bestFit="1" customWidth="1"/>
    <col min="473" max="473" width="74.5703125" bestFit="1" customWidth="1"/>
    <col min="474" max="474" width="22.140625" bestFit="1" customWidth="1"/>
    <col min="475" max="475" width="58.28515625" bestFit="1" customWidth="1"/>
    <col min="476" max="476" width="67.5703125" bestFit="1" customWidth="1"/>
    <col min="477" max="477" width="27" bestFit="1" customWidth="1"/>
    <col min="478" max="478" width="61.42578125" bestFit="1" customWidth="1"/>
    <col min="479" max="479" width="40" bestFit="1" customWidth="1"/>
    <col min="480" max="480" width="28.28515625" bestFit="1" customWidth="1"/>
    <col min="481" max="481" width="24.7109375" bestFit="1" customWidth="1"/>
    <col min="482" max="482" width="36.5703125" bestFit="1" customWidth="1"/>
    <col min="483" max="483" width="41" bestFit="1" customWidth="1"/>
    <col min="484" max="485" width="38.7109375" bestFit="1" customWidth="1"/>
    <col min="486" max="486" width="37.5703125" bestFit="1" customWidth="1"/>
    <col min="487" max="487" width="39.5703125" bestFit="1" customWidth="1"/>
    <col min="488" max="488" width="40" bestFit="1" customWidth="1"/>
    <col min="489" max="489" width="39" bestFit="1" customWidth="1"/>
    <col min="490" max="490" width="40.5703125" bestFit="1" customWidth="1"/>
    <col min="491" max="491" width="75" bestFit="1" customWidth="1"/>
    <col min="492" max="492" width="37.140625" bestFit="1" customWidth="1"/>
    <col min="493" max="493" width="49.42578125" bestFit="1" customWidth="1"/>
    <col min="494" max="494" width="68.5703125" bestFit="1" customWidth="1"/>
    <col min="495" max="495" width="30.5703125" bestFit="1" customWidth="1"/>
    <col min="496" max="496" width="68" bestFit="1" customWidth="1"/>
    <col min="497" max="497" width="59" bestFit="1" customWidth="1"/>
    <col min="498" max="498" width="45.5703125" bestFit="1" customWidth="1"/>
    <col min="499" max="499" width="44.7109375" bestFit="1" customWidth="1"/>
    <col min="500" max="500" width="33" bestFit="1" customWidth="1"/>
    <col min="501" max="501" width="34.140625" bestFit="1" customWidth="1"/>
    <col min="502" max="502" width="57.85546875" bestFit="1" customWidth="1"/>
    <col min="503" max="503" width="45" bestFit="1" customWidth="1"/>
    <col min="504" max="504" width="34.140625" bestFit="1" customWidth="1"/>
    <col min="505" max="505" width="35" bestFit="1" customWidth="1"/>
    <col min="506" max="506" width="37.5703125" bestFit="1" customWidth="1"/>
    <col min="507" max="507" width="70.7109375" bestFit="1" customWidth="1"/>
    <col min="508" max="508" width="46.5703125" bestFit="1" customWidth="1"/>
    <col min="509" max="509" width="135.7109375" bestFit="1" customWidth="1"/>
    <col min="510" max="510" width="65.5703125" bestFit="1" customWidth="1"/>
    <col min="511" max="511" width="113.42578125" bestFit="1" customWidth="1"/>
    <col min="512" max="512" width="70.7109375" bestFit="1" customWidth="1"/>
    <col min="513" max="513" width="60.5703125" bestFit="1" customWidth="1"/>
    <col min="514" max="514" width="49.140625" bestFit="1" customWidth="1"/>
    <col min="515" max="515" width="65.28515625" bestFit="1" customWidth="1"/>
    <col min="516" max="516" width="46.5703125" bestFit="1" customWidth="1"/>
    <col min="517" max="517" width="29.7109375" bestFit="1" customWidth="1"/>
    <col min="518" max="518" width="37.140625" bestFit="1" customWidth="1"/>
    <col min="519" max="519" width="42.7109375" bestFit="1" customWidth="1"/>
    <col min="520" max="520" width="95.140625" bestFit="1" customWidth="1"/>
    <col min="521" max="521" width="52.85546875" bestFit="1" customWidth="1"/>
    <col min="522" max="522" width="24.7109375" bestFit="1" customWidth="1"/>
    <col min="523" max="523" width="81.140625" bestFit="1" customWidth="1"/>
    <col min="524" max="524" width="63" bestFit="1" customWidth="1"/>
    <col min="525" max="525" width="51.42578125" bestFit="1" customWidth="1"/>
    <col min="526" max="526" width="58.140625" bestFit="1" customWidth="1"/>
    <col min="527" max="527" width="43" bestFit="1" customWidth="1"/>
    <col min="528" max="528" width="53.42578125" bestFit="1" customWidth="1"/>
    <col min="529" max="529" width="47.5703125" bestFit="1" customWidth="1"/>
    <col min="530" max="530" width="28.5703125" bestFit="1" customWidth="1"/>
    <col min="531" max="531" width="96.5703125" bestFit="1" customWidth="1"/>
    <col min="532" max="532" width="56" bestFit="1" customWidth="1"/>
    <col min="533" max="533" width="134.5703125" bestFit="1" customWidth="1"/>
    <col min="534" max="534" width="36.85546875" bestFit="1" customWidth="1"/>
    <col min="535" max="535" width="53.28515625" bestFit="1" customWidth="1"/>
    <col min="536" max="536" width="50.7109375" bestFit="1" customWidth="1"/>
    <col min="537" max="537" width="48.140625" bestFit="1" customWidth="1"/>
    <col min="538" max="538" width="69" bestFit="1" customWidth="1"/>
    <col min="539" max="539" width="60.5703125" bestFit="1" customWidth="1"/>
    <col min="540" max="540" width="46.7109375" bestFit="1" customWidth="1"/>
    <col min="541" max="541" width="19" bestFit="1" customWidth="1"/>
    <col min="542" max="542" width="55.140625" bestFit="1" customWidth="1"/>
    <col min="543" max="543" width="83.140625" bestFit="1" customWidth="1"/>
    <col min="544" max="544" width="50.85546875" bestFit="1" customWidth="1"/>
    <col min="545" max="545" width="79.42578125" bestFit="1" customWidth="1"/>
    <col min="546" max="546" width="115.42578125" bestFit="1" customWidth="1"/>
    <col min="547" max="547" width="85.28515625" bestFit="1" customWidth="1"/>
    <col min="548" max="548" width="90.85546875" bestFit="1" customWidth="1"/>
    <col min="549" max="549" width="57.7109375" bestFit="1" customWidth="1"/>
    <col min="550" max="550" width="31.85546875" bestFit="1" customWidth="1"/>
    <col min="551" max="551" width="41" bestFit="1" customWidth="1"/>
    <col min="552" max="552" width="42.85546875" bestFit="1" customWidth="1"/>
    <col min="553" max="553" width="43.28515625" bestFit="1" customWidth="1"/>
    <col min="554" max="554" width="41.85546875" bestFit="1" customWidth="1"/>
    <col min="555" max="555" width="42.42578125" bestFit="1" customWidth="1"/>
    <col min="556" max="556" width="38" bestFit="1" customWidth="1"/>
    <col min="557" max="557" width="40.85546875" bestFit="1" customWidth="1"/>
    <col min="558" max="558" width="40.5703125" bestFit="1" customWidth="1"/>
    <col min="559" max="559" width="44.5703125" bestFit="1" customWidth="1"/>
    <col min="560" max="560" width="105.5703125" bestFit="1" customWidth="1"/>
    <col min="561" max="561" width="25.140625" bestFit="1" customWidth="1"/>
    <col min="562" max="562" width="43.42578125" bestFit="1" customWidth="1"/>
    <col min="563" max="563" width="42.7109375" bestFit="1" customWidth="1"/>
    <col min="564" max="564" width="39.28515625" bestFit="1" customWidth="1"/>
    <col min="565" max="565" width="41.140625" bestFit="1" customWidth="1"/>
    <col min="566" max="566" width="73.42578125" bestFit="1" customWidth="1"/>
    <col min="567" max="567" width="67.85546875" bestFit="1" customWidth="1"/>
    <col min="568" max="568" width="49" bestFit="1" customWidth="1"/>
    <col min="569" max="569" width="54.28515625" bestFit="1" customWidth="1"/>
    <col min="570" max="570" width="65" bestFit="1" customWidth="1"/>
    <col min="571" max="571" width="53.85546875" bestFit="1" customWidth="1"/>
    <col min="572" max="572" width="73.42578125" bestFit="1" customWidth="1"/>
    <col min="573" max="573" width="61.42578125" bestFit="1" customWidth="1"/>
    <col min="574" max="574" width="50" bestFit="1" customWidth="1"/>
    <col min="575" max="575" width="91.5703125" bestFit="1" customWidth="1"/>
    <col min="576" max="576" width="102.28515625" bestFit="1" customWidth="1"/>
    <col min="577" max="577" width="88.7109375" bestFit="1" customWidth="1"/>
    <col min="578" max="581" width="68.7109375" bestFit="1" customWidth="1"/>
    <col min="582" max="582" width="67.7109375" bestFit="1" customWidth="1"/>
    <col min="583" max="586" width="68.7109375" bestFit="1" customWidth="1"/>
    <col min="587" max="590" width="67.7109375" bestFit="1" customWidth="1"/>
    <col min="591" max="591" width="86.28515625" bestFit="1" customWidth="1"/>
    <col min="592" max="592" width="74.85546875" bestFit="1" customWidth="1"/>
    <col min="593" max="593" width="48" bestFit="1" customWidth="1"/>
    <col min="594" max="594" width="60.42578125" bestFit="1" customWidth="1"/>
    <col min="595" max="595" width="70.85546875" bestFit="1" customWidth="1"/>
    <col min="596" max="596" width="52.28515625" bestFit="1" customWidth="1"/>
    <col min="597" max="597" width="52.5703125" bestFit="1" customWidth="1"/>
    <col min="598" max="598" width="61.5703125" bestFit="1" customWidth="1"/>
    <col min="599" max="599" width="75.7109375" bestFit="1" customWidth="1"/>
    <col min="600" max="600" width="173.140625" bestFit="1" customWidth="1"/>
    <col min="601" max="601" width="68.5703125" bestFit="1" customWidth="1"/>
    <col min="602" max="602" width="51.42578125" bestFit="1" customWidth="1"/>
    <col min="603" max="603" width="48.140625" bestFit="1" customWidth="1"/>
    <col min="604" max="604" width="45.28515625" bestFit="1" customWidth="1"/>
    <col min="605" max="605" width="75.5703125" bestFit="1" customWidth="1"/>
    <col min="606" max="606" width="63.5703125" bestFit="1" customWidth="1"/>
    <col min="607" max="607" width="64" bestFit="1" customWidth="1"/>
    <col min="608" max="608" width="52" bestFit="1" customWidth="1"/>
    <col min="609" max="609" width="59.85546875" bestFit="1" customWidth="1"/>
    <col min="610" max="610" width="74.85546875" bestFit="1" customWidth="1"/>
    <col min="611" max="611" width="54.5703125" bestFit="1" customWidth="1"/>
    <col min="612" max="612" width="67.28515625" bestFit="1" customWidth="1"/>
    <col min="613" max="613" width="64.42578125" bestFit="1" customWidth="1"/>
    <col min="614" max="614" width="53.42578125" bestFit="1" customWidth="1"/>
    <col min="615" max="615" width="78.5703125" bestFit="1" customWidth="1"/>
    <col min="616" max="616" width="83.7109375" bestFit="1" customWidth="1"/>
    <col min="617" max="617" width="48.7109375" bestFit="1" customWidth="1"/>
    <col min="618" max="618" width="131.28515625" bestFit="1" customWidth="1"/>
    <col min="619" max="619" width="55.42578125" bestFit="1" customWidth="1"/>
    <col min="620" max="620" width="48.5703125" bestFit="1" customWidth="1"/>
    <col min="621" max="621" width="74.85546875" bestFit="1" customWidth="1"/>
    <col min="622" max="622" width="26.85546875" bestFit="1" customWidth="1"/>
    <col min="623" max="623" width="76.42578125" bestFit="1" customWidth="1"/>
    <col min="624" max="624" width="48.28515625" bestFit="1" customWidth="1"/>
    <col min="625" max="625" width="40.85546875" bestFit="1" customWidth="1"/>
    <col min="626" max="626" width="74.42578125" bestFit="1" customWidth="1"/>
    <col min="627" max="627" width="42.5703125" bestFit="1" customWidth="1"/>
    <col min="628" max="628" width="34.140625" bestFit="1" customWidth="1"/>
    <col min="629" max="629" width="55.5703125" bestFit="1" customWidth="1"/>
    <col min="630" max="630" width="40.140625" bestFit="1" customWidth="1"/>
    <col min="631" max="631" width="42.85546875" bestFit="1" customWidth="1"/>
    <col min="632" max="632" width="62.28515625" bestFit="1" customWidth="1"/>
    <col min="633" max="633" width="49.7109375" bestFit="1" customWidth="1"/>
    <col min="634" max="634" width="35.5703125" bestFit="1" customWidth="1"/>
    <col min="635" max="635" width="88.5703125" bestFit="1" customWidth="1"/>
    <col min="636" max="636" width="61" bestFit="1" customWidth="1"/>
    <col min="637" max="637" width="35.42578125" bestFit="1" customWidth="1"/>
    <col min="638" max="638" width="64.7109375" bestFit="1" customWidth="1"/>
    <col min="639" max="639" width="35" bestFit="1" customWidth="1"/>
    <col min="640" max="640" width="33.42578125" bestFit="1" customWidth="1"/>
    <col min="641" max="641" width="56.42578125" bestFit="1" customWidth="1"/>
    <col min="642" max="642" width="50" bestFit="1" customWidth="1"/>
    <col min="643" max="643" width="99" bestFit="1" customWidth="1"/>
    <col min="644" max="644" width="61.42578125" bestFit="1" customWidth="1"/>
    <col min="645" max="645" width="27.7109375" bestFit="1" customWidth="1"/>
    <col min="646" max="646" width="50.7109375" bestFit="1" customWidth="1"/>
    <col min="647" max="647" width="61.42578125" bestFit="1" customWidth="1"/>
    <col min="648" max="648" width="51.42578125" bestFit="1" customWidth="1"/>
    <col min="649" max="649" width="61" bestFit="1" customWidth="1"/>
    <col min="650" max="650" width="49.28515625" bestFit="1" customWidth="1"/>
    <col min="651" max="651" width="22.7109375" bestFit="1" customWidth="1"/>
    <col min="652" max="652" width="28.28515625" bestFit="1" customWidth="1"/>
    <col min="653" max="653" width="83.5703125" bestFit="1" customWidth="1"/>
    <col min="654" max="654" width="42.42578125" bestFit="1" customWidth="1"/>
    <col min="655" max="655" width="57.7109375" bestFit="1" customWidth="1"/>
    <col min="656" max="656" width="54.28515625" bestFit="1" customWidth="1"/>
    <col min="657" max="657" width="59.5703125" bestFit="1" customWidth="1"/>
    <col min="658" max="658" width="51.7109375" bestFit="1" customWidth="1"/>
    <col min="659" max="659" width="67.85546875" bestFit="1" customWidth="1"/>
    <col min="660" max="660" width="61" bestFit="1" customWidth="1"/>
    <col min="661" max="661" width="68.28515625" bestFit="1" customWidth="1"/>
    <col min="662" max="662" width="143.85546875" bestFit="1" customWidth="1"/>
    <col min="663" max="663" width="44.42578125" bestFit="1" customWidth="1"/>
    <col min="664" max="664" width="91.28515625" bestFit="1" customWidth="1"/>
    <col min="665" max="665" width="79.5703125" bestFit="1" customWidth="1"/>
    <col min="666" max="666" width="39.7109375" bestFit="1" customWidth="1"/>
    <col min="667" max="667" width="61.7109375" bestFit="1" customWidth="1"/>
    <col min="668" max="668" width="32.42578125" bestFit="1" customWidth="1"/>
    <col min="669" max="669" width="52.28515625" bestFit="1" customWidth="1"/>
    <col min="670" max="670" width="51.140625" bestFit="1" customWidth="1"/>
    <col min="671" max="671" width="67" bestFit="1" customWidth="1"/>
    <col min="672" max="673" width="39.140625" bestFit="1" customWidth="1"/>
    <col min="674" max="674" width="42.7109375" bestFit="1" customWidth="1"/>
    <col min="675" max="675" width="37.28515625" bestFit="1" customWidth="1"/>
    <col min="676" max="676" width="28.42578125" bestFit="1" customWidth="1"/>
    <col min="677" max="677" width="45.5703125" bestFit="1" customWidth="1"/>
    <col min="678" max="678" width="46" bestFit="1" customWidth="1"/>
    <col min="679" max="679" width="34.42578125" bestFit="1" customWidth="1"/>
    <col min="680" max="680" width="53.140625" bestFit="1" customWidth="1"/>
    <col min="681" max="681" width="77.28515625" bestFit="1" customWidth="1"/>
    <col min="682" max="682" width="53.140625" bestFit="1" customWidth="1"/>
    <col min="683" max="683" width="39.28515625" bestFit="1" customWidth="1"/>
    <col min="684" max="684" width="40" bestFit="1" customWidth="1"/>
    <col min="685" max="685" width="37" bestFit="1" customWidth="1"/>
    <col min="686" max="686" width="48.28515625" bestFit="1" customWidth="1"/>
    <col min="687" max="687" width="36.5703125" bestFit="1" customWidth="1"/>
    <col min="688" max="688" width="25.28515625" bestFit="1" customWidth="1"/>
    <col min="689" max="689" width="15.7109375" bestFit="1" customWidth="1"/>
    <col min="690" max="690" width="75.7109375" bestFit="1" customWidth="1"/>
    <col min="691" max="691" width="37.7109375" bestFit="1" customWidth="1"/>
    <col min="692" max="692" width="22" bestFit="1" customWidth="1"/>
    <col min="693" max="693" width="39" bestFit="1" customWidth="1"/>
    <col min="694" max="694" width="45.140625" bestFit="1" customWidth="1"/>
    <col min="695" max="695" width="59.42578125" bestFit="1" customWidth="1"/>
    <col min="696" max="696" width="44" bestFit="1" customWidth="1"/>
    <col min="697" max="697" width="45.28515625" bestFit="1" customWidth="1"/>
    <col min="698" max="698" width="45.42578125" bestFit="1" customWidth="1"/>
    <col min="699" max="699" width="30.28515625" bestFit="1" customWidth="1"/>
    <col min="700" max="700" width="31.7109375" bestFit="1" customWidth="1"/>
    <col min="701" max="701" width="57.85546875" bestFit="1" customWidth="1"/>
    <col min="702" max="702" width="60" bestFit="1" customWidth="1"/>
    <col min="703" max="703" width="114.140625" bestFit="1" customWidth="1"/>
    <col min="704" max="704" width="49.42578125" bestFit="1" customWidth="1"/>
    <col min="705" max="705" width="40.7109375" bestFit="1" customWidth="1"/>
    <col min="706" max="706" width="58.28515625" bestFit="1" customWidth="1"/>
    <col min="707" max="707" width="28" bestFit="1" customWidth="1"/>
    <col min="708" max="708" width="49.42578125" bestFit="1" customWidth="1"/>
    <col min="709" max="709" width="56" bestFit="1" customWidth="1"/>
    <col min="710" max="710" width="76" bestFit="1" customWidth="1"/>
    <col min="711" max="711" width="43.7109375" bestFit="1" customWidth="1"/>
    <col min="712" max="712" width="47.42578125" bestFit="1" customWidth="1"/>
    <col min="713" max="713" width="68" bestFit="1" customWidth="1"/>
    <col min="714" max="714" width="55.85546875" bestFit="1" customWidth="1"/>
    <col min="715" max="715" width="72.85546875" bestFit="1" customWidth="1"/>
    <col min="716" max="716" width="87.140625" bestFit="1" customWidth="1"/>
    <col min="717" max="717" width="23.7109375" bestFit="1" customWidth="1"/>
    <col min="718" max="718" width="71.140625" bestFit="1" customWidth="1"/>
    <col min="719" max="719" width="58.85546875" bestFit="1" customWidth="1"/>
    <col min="720" max="720" width="43.7109375" bestFit="1" customWidth="1"/>
    <col min="721" max="721" width="49.7109375" bestFit="1" customWidth="1"/>
    <col min="722" max="722" width="59" bestFit="1" customWidth="1"/>
    <col min="723" max="723" width="63.85546875" bestFit="1" customWidth="1"/>
    <col min="724" max="724" width="80.140625" bestFit="1" customWidth="1"/>
    <col min="725" max="725" width="68" bestFit="1" customWidth="1"/>
    <col min="726" max="726" width="42.28515625" bestFit="1" customWidth="1"/>
    <col min="727" max="727" width="51" bestFit="1" customWidth="1"/>
    <col min="728" max="728" width="67" bestFit="1" customWidth="1"/>
    <col min="729" max="729" width="60.28515625" bestFit="1" customWidth="1"/>
    <col min="730" max="730" width="25.7109375" bestFit="1" customWidth="1"/>
    <col min="731" max="731" width="52.140625" bestFit="1" customWidth="1"/>
    <col min="732" max="732" width="46" bestFit="1" customWidth="1"/>
    <col min="733" max="733" width="28.28515625" bestFit="1" customWidth="1"/>
    <col min="734" max="734" width="47.7109375" bestFit="1" customWidth="1"/>
    <col min="735" max="735" width="62.85546875" bestFit="1" customWidth="1"/>
    <col min="736" max="736" width="43" bestFit="1" customWidth="1"/>
    <col min="737" max="737" width="51.28515625" bestFit="1" customWidth="1"/>
    <col min="738" max="738" width="68.28515625" bestFit="1" customWidth="1"/>
    <col min="739" max="739" width="64.85546875" bestFit="1" customWidth="1"/>
    <col min="740" max="740" width="38.28515625" bestFit="1" customWidth="1"/>
    <col min="741" max="741" width="49.5703125" bestFit="1" customWidth="1"/>
    <col min="742" max="742" width="46.5703125" bestFit="1" customWidth="1"/>
    <col min="743" max="743" width="59" bestFit="1" customWidth="1"/>
    <col min="744" max="744" width="40.28515625" bestFit="1" customWidth="1"/>
    <col min="745" max="745" width="46.7109375" bestFit="1" customWidth="1"/>
    <col min="746" max="746" width="72.7109375" bestFit="1" customWidth="1"/>
    <col min="747" max="747" width="61.5703125" bestFit="1" customWidth="1"/>
    <col min="748" max="748" width="76.7109375" bestFit="1" customWidth="1"/>
    <col min="749" max="749" width="22.7109375" bestFit="1" customWidth="1"/>
    <col min="750" max="750" width="69.5703125" bestFit="1" customWidth="1"/>
    <col min="751" max="751" width="60" bestFit="1" customWidth="1"/>
    <col min="752" max="752" width="32.28515625" bestFit="1" customWidth="1"/>
    <col min="753" max="753" width="48" bestFit="1" customWidth="1"/>
    <col min="754" max="754" width="99.42578125" bestFit="1" customWidth="1"/>
    <col min="755" max="755" width="57.7109375" bestFit="1" customWidth="1"/>
    <col min="756" max="756" width="47.5703125" bestFit="1" customWidth="1"/>
    <col min="757" max="757" width="44.5703125" bestFit="1" customWidth="1"/>
    <col min="758" max="758" width="74.5703125" bestFit="1" customWidth="1"/>
    <col min="759" max="759" width="22.140625" bestFit="1" customWidth="1"/>
    <col min="760" max="760" width="58.28515625" bestFit="1" customWidth="1"/>
    <col min="761" max="761" width="67.5703125" bestFit="1" customWidth="1"/>
    <col min="762" max="762" width="27" bestFit="1" customWidth="1"/>
    <col min="763" max="763" width="61.42578125" bestFit="1" customWidth="1"/>
    <col min="764" max="764" width="40" bestFit="1" customWidth="1"/>
    <col min="765" max="765" width="28.28515625" bestFit="1" customWidth="1"/>
    <col min="766" max="766" width="24.7109375" bestFit="1" customWidth="1"/>
    <col min="767" max="767" width="36.5703125" bestFit="1" customWidth="1"/>
    <col min="768" max="768" width="41" bestFit="1" customWidth="1"/>
    <col min="769" max="770" width="38.7109375" bestFit="1" customWidth="1"/>
    <col min="771" max="771" width="37.5703125" bestFit="1" customWidth="1"/>
    <col min="772" max="772" width="39.5703125" bestFit="1" customWidth="1"/>
    <col min="773" max="773" width="40" bestFit="1" customWidth="1"/>
    <col min="774" max="774" width="39" bestFit="1" customWidth="1"/>
    <col min="775" max="775" width="40.5703125" bestFit="1" customWidth="1"/>
    <col min="776" max="776" width="75" bestFit="1" customWidth="1"/>
    <col min="777" max="777" width="37.140625" bestFit="1" customWidth="1"/>
    <col min="778" max="778" width="49.42578125" bestFit="1" customWidth="1"/>
    <col min="779" max="779" width="68.5703125" bestFit="1" customWidth="1"/>
    <col min="780" max="780" width="30.5703125" bestFit="1" customWidth="1"/>
    <col min="781" max="781" width="68" bestFit="1" customWidth="1"/>
    <col min="782" max="782" width="59" bestFit="1" customWidth="1"/>
    <col min="783" max="783" width="45.5703125" bestFit="1" customWidth="1"/>
    <col min="784" max="784" width="44.7109375" bestFit="1" customWidth="1"/>
    <col min="785" max="785" width="33" bestFit="1" customWidth="1"/>
    <col min="786" max="786" width="34.140625" bestFit="1" customWidth="1"/>
    <col min="787" max="787" width="57.85546875" bestFit="1" customWidth="1"/>
    <col min="788" max="788" width="45" bestFit="1" customWidth="1"/>
    <col min="789" max="789" width="34.140625" bestFit="1" customWidth="1"/>
    <col min="790" max="790" width="35" bestFit="1" customWidth="1"/>
    <col min="791" max="791" width="37.5703125" bestFit="1" customWidth="1"/>
    <col min="792" max="792" width="70.7109375" bestFit="1" customWidth="1"/>
    <col min="793" max="793" width="46.5703125" bestFit="1" customWidth="1"/>
    <col min="794" max="794" width="135.7109375" bestFit="1" customWidth="1"/>
    <col min="795" max="795" width="65.5703125" bestFit="1" customWidth="1"/>
    <col min="796" max="796" width="113.42578125" bestFit="1" customWidth="1"/>
    <col min="797" max="797" width="70.7109375" bestFit="1" customWidth="1"/>
    <col min="798" max="798" width="60.5703125" bestFit="1" customWidth="1"/>
    <col min="799" max="799" width="49.140625" bestFit="1" customWidth="1"/>
    <col min="800" max="800" width="65.28515625" bestFit="1" customWidth="1"/>
    <col min="801" max="801" width="46.5703125" bestFit="1" customWidth="1"/>
    <col min="802" max="802" width="29.7109375" bestFit="1" customWidth="1"/>
    <col min="803" max="803" width="37.140625" bestFit="1" customWidth="1"/>
    <col min="804" max="804" width="42.7109375" bestFit="1" customWidth="1"/>
    <col min="805" max="805" width="95.140625" bestFit="1" customWidth="1"/>
    <col min="806" max="806" width="52.85546875" bestFit="1" customWidth="1"/>
    <col min="807" max="807" width="24.7109375" bestFit="1" customWidth="1"/>
    <col min="808" max="808" width="81.140625" bestFit="1" customWidth="1"/>
    <col min="809" max="809" width="63" bestFit="1" customWidth="1"/>
    <col min="810" max="810" width="51.42578125" bestFit="1" customWidth="1"/>
    <col min="811" max="811" width="58.140625" bestFit="1" customWidth="1"/>
    <col min="812" max="812" width="43" bestFit="1" customWidth="1"/>
    <col min="813" max="813" width="53.42578125" bestFit="1" customWidth="1"/>
    <col min="814" max="814" width="47.5703125" bestFit="1" customWidth="1"/>
    <col min="815" max="815" width="28.5703125" bestFit="1" customWidth="1"/>
    <col min="816" max="816" width="96.5703125" bestFit="1" customWidth="1"/>
    <col min="817" max="817" width="56" bestFit="1" customWidth="1"/>
    <col min="818" max="818" width="134.5703125" bestFit="1" customWidth="1"/>
    <col min="819" max="819" width="36.85546875" bestFit="1" customWidth="1"/>
    <col min="820" max="820" width="53.28515625" bestFit="1" customWidth="1"/>
    <col min="821" max="821" width="50.7109375" bestFit="1" customWidth="1"/>
    <col min="822" max="822" width="48.140625" bestFit="1" customWidth="1"/>
    <col min="823" max="823" width="69" bestFit="1" customWidth="1"/>
    <col min="824" max="824" width="60.5703125" bestFit="1" customWidth="1"/>
    <col min="825" max="825" width="46.7109375" bestFit="1" customWidth="1"/>
    <col min="826" max="826" width="19" bestFit="1" customWidth="1"/>
    <col min="827" max="827" width="55.140625" bestFit="1" customWidth="1"/>
    <col min="828" max="828" width="83.140625" bestFit="1" customWidth="1"/>
    <col min="829" max="829" width="50.85546875" bestFit="1" customWidth="1"/>
    <col min="830" max="830" width="79.42578125" bestFit="1" customWidth="1"/>
    <col min="831" max="831" width="115.42578125" bestFit="1" customWidth="1"/>
    <col min="832" max="832" width="85.28515625" bestFit="1" customWidth="1"/>
    <col min="833" max="833" width="90.85546875" bestFit="1" customWidth="1"/>
    <col min="834" max="834" width="57.7109375" bestFit="1" customWidth="1"/>
    <col min="835" max="835" width="31.85546875" bestFit="1" customWidth="1"/>
    <col min="836" max="836" width="41" bestFit="1" customWidth="1"/>
    <col min="837" max="837" width="42.85546875" bestFit="1" customWidth="1"/>
    <col min="838" max="838" width="43.28515625" bestFit="1" customWidth="1"/>
    <col min="839" max="839" width="41.85546875" bestFit="1" customWidth="1"/>
    <col min="840" max="840" width="42.42578125" bestFit="1" customWidth="1"/>
    <col min="841" max="841" width="38" bestFit="1" customWidth="1"/>
    <col min="842" max="842" width="40.85546875" bestFit="1" customWidth="1"/>
    <col min="843" max="843" width="40.5703125" bestFit="1" customWidth="1"/>
    <col min="844" max="844" width="44.5703125" bestFit="1" customWidth="1"/>
    <col min="845" max="845" width="105.5703125" bestFit="1" customWidth="1"/>
    <col min="846" max="846" width="25.140625" bestFit="1" customWidth="1"/>
    <col min="847" max="847" width="43.42578125" bestFit="1" customWidth="1"/>
    <col min="848" max="848" width="42.7109375" bestFit="1" customWidth="1"/>
    <col min="849" max="849" width="39.28515625" bestFit="1" customWidth="1"/>
    <col min="850" max="850" width="41.140625" bestFit="1" customWidth="1"/>
    <col min="851" max="851" width="73.42578125" bestFit="1" customWidth="1"/>
    <col min="852" max="852" width="67.85546875" bestFit="1" customWidth="1"/>
    <col min="853" max="853" width="49" bestFit="1" customWidth="1"/>
    <col min="854" max="854" width="54.28515625" bestFit="1" customWidth="1"/>
    <col min="855" max="855" width="65" bestFit="1" customWidth="1"/>
    <col min="856" max="856" width="53.85546875" bestFit="1" customWidth="1"/>
    <col min="857" max="857" width="73.42578125" bestFit="1" customWidth="1"/>
    <col min="858" max="858" width="22.5703125" bestFit="1" customWidth="1"/>
    <col min="859" max="859" width="26.28515625" bestFit="1" customWidth="1"/>
    <col min="860" max="860" width="25.7109375" bestFit="1" customWidth="1"/>
  </cols>
  <sheetData>
    <row r="2" spans="2:6" x14ac:dyDescent="0.25">
      <c r="B2" s="28" t="s">
        <v>25</v>
      </c>
      <c r="C2" t="s">
        <v>68</v>
      </c>
    </row>
    <row r="4" spans="2:6" x14ac:dyDescent="0.25">
      <c r="B4" s="28" t="s">
        <v>69</v>
      </c>
      <c r="C4" t="s">
        <v>90</v>
      </c>
      <c r="D4" t="s">
        <v>89</v>
      </c>
      <c r="E4" t="s">
        <v>91</v>
      </c>
      <c r="F4" t="s">
        <v>523</v>
      </c>
    </row>
    <row r="5" spans="2:6" x14ac:dyDescent="0.25">
      <c r="B5" s="29" t="s">
        <v>521</v>
      </c>
      <c r="C5" s="30">
        <v>212</v>
      </c>
      <c r="D5" s="30">
        <v>998</v>
      </c>
      <c r="E5" s="30">
        <v>13</v>
      </c>
      <c r="F5" s="30">
        <v>291</v>
      </c>
    </row>
    <row r="6" spans="2:6" x14ac:dyDescent="0.25">
      <c r="B6" s="73" t="s">
        <v>167</v>
      </c>
      <c r="C6" s="30">
        <v>28</v>
      </c>
      <c r="D6" s="30">
        <v>148</v>
      </c>
      <c r="E6" s="30"/>
      <c r="F6" s="30">
        <v>27</v>
      </c>
    </row>
    <row r="7" spans="2:6" x14ac:dyDescent="0.25">
      <c r="B7" s="73" t="s">
        <v>145</v>
      </c>
      <c r="C7" s="30">
        <v>58</v>
      </c>
      <c r="D7" s="30">
        <v>198</v>
      </c>
      <c r="E7" s="30">
        <v>2</v>
      </c>
      <c r="F7" s="30">
        <v>37</v>
      </c>
    </row>
    <row r="8" spans="2:6" x14ac:dyDescent="0.25">
      <c r="B8" s="73" t="s">
        <v>127</v>
      </c>
      <c r="C8" s="30">
        <v>34</v>
      </c>
      <c r="D8" s="30">
        <v>143</v>
      </c>
      <c r="E8" s="30">
        <v>2</v>
      </c>
      <c r="F8" s="30">
        <v>43</v>
      </c>
    </row>
    <row r="9" spans="2:6" x14ac:dyDescent="0.25">
      <c r="B9" s="73" t="s">
        <v>206</v>
      </c>
      <c r="C9" s="30">
        <v>2</v>
      </c>
      <c r="D9" s="30">
        <v>43</v>
      </c>
      <c r="E9" s="30">
        <v>4</v>
      </c>
      <c r="F9" s="30">
        <v>15</v>
      </c>
    </row>
    <row r="10" spans="2:6" x14ac:dyDescent="0.25">
      <c r="B10" s="73" t="s">
        <v>190</v>
      </c>
      <c r="C10" s="30"/>
      <c r="D10" s="30">
        <v>5</v>
      </c>
      <c r="E10" s="30"/>
      <c r="F10" s="30">
        <v>6</v>
      </c>
    </row>
    <row r="11" spans="2:6" x14ac:dyDescent="0.25">
      <c r="B11" s="73" t="s">
        <v>151</v>
      </c>
      <c r="C11" s="30">
        <v>16</v>
      </c>
      <c r="D11" s="30">
        <v>119</v>
      </c>
      <c r="E11" s="30">
        <v>2</v>
      </c>
      <c r="F11" s="30">
        <v>44</v>
      </c>
    </row>
    <row r="12" spans="2:6" x14ac:dyDescent="0.25">
      <c r="B12" s="73" t="s">
        <v>157</v>
      </c>
      <c r="C12" s="30">
        <v>68</v>
      </c>
      <c r="D12" s="30">
        <v>153</v>
      </c>
      <c r="E12" s="30"/>
      <c r="F12" s="30">
        <v>28</v>
      </c>
    </row>
    <row r="13" spans="2:6" x14ac:dyDescent="0.25">
      <c r="B13" s="73" t="s">
        <v>249</v>
      </c>
      <c r="C13" s="30">
        <v>4</v>
      </c>
      <c r="D13" s="30">
        <v>13</v>
      </c>
      <c r="E13" s="30">
        <v>1</v>
      </c>
      <c r="F13" s="30">
        <v>6</v>
      </c>
    </row>
    <row r="14" spans="2:6" x14ac:dyDescent="0.25">
      <c r="B14" s="73" t="s">
        <v>136</v>
      </c>
      <c r="C14" s="30">
        <v>2</v>
      </c>
      <c r="D14" s="30">
        <v>176</v>
      </c>
      <c r="E14" s="30">
        <v>2</v>
      </c>
      <c r="F14" s="30">
        <v>85</v>
      </c>
    </row>
    <row r="15" spans="2:6" x14ac:dyDescent="0.25">
      <c r="B15" s="29" t="s">
        <v>70</v>
      </c>
      <c r="C15" s="30">
        <v>212</v>
      </c>
      <c r="D15" s="30">
        <v>998</v>
      </c>
      <c r="E15" s="30">
        <v>13</v>
      </c>
      <c r="F15" s="30">
        <v>291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M14"/>
  <sheetViews>
    <sheetView workbookViewId="0">
      <selection activeCell="J37" sqref="J37"/>
    </sheetView>
  </sheetViews>
  <sheetFormatPr defaultRowHeight="15" x14ac:dyDescent="0.25"/>
  <cols>
    <col min="2" max="2" width="24.5703125" bestFit="1" customWidth="1"/>
    <col min="3" max="3" width="20.42578125" bestFit="1" customWidth="1"/>
    <col min="4" max="4" width="4.140625" bestFit="1" customWidth="1"/>
    <col min="5" max="5" width="11.28515625" bestFit="1" customWidth="1"/>
    <col min="6" max="6" width="8.42578125" customWidth="1"/>
    <col min="7" max="7" width="23.42578125" bestFit="1" customWidth="1"/>
    <col min="8" max="8" width="14.140625" bestFit="1" customWidth="1"/>
    <col min="9" max="9" width="4.140625" bestFit="1" customWidth="1"/>
    <col min="10" max="10" width="11.28515625" bestFit="1" customWidth="1"/>
    <col min="11" max="11" width="16.28515625" customWidth="1"/>
    <col min="12" max="12" width="23.42578125" bestFit="1" customWidth="1"/>
    <col min="13" max="13" width="15.7109375" bestFit="1" customWidth="1"/>
    <col min="14" max="14" width="11.28515625" bestFit="1" customWidth="1"/>
  </cols>
  <sheetData>
    <row r="2" spans="2:13" x14ac:dyDescent="0.25">
      <c r="B2" s="28" t="s">
        <v>25</v>
      </c>
      <c r="C2" t="s">
        <v>68</v>
      </c>
      <c r="G2" s="28" t="s">
        <v>25</v>
      </c>
      <c r="H2" t="s">
        <v>68</v>
      </c>
    </row>
    <row r="3" spans="2:13" x14ac:dyDescent="0.25">
      <c r="L3" s="28" t="s">
        <v>25</v>
      </c>
      <c r="M3" t="s">
        <v>68</v>
      </c>
    </row>
    <row r="4" spans="2:13" x14ac:dyDescent="0.25">
      <c r="B4" s="28" t="s">
        <v>76</v>
      </c>
      <c r="C4" s="28" t="s">
        <v>17</v>
      </c>
      <c r="G4" s="28" t="s">
        <v>74</v>
      </c>
      <c r="H4" s="28" t="s">
        <v>75</v>
      </c>
      <c r="L4" s="28" t="s">
        <v>5</v>
      </c>
      <c r="M4" t="s">
        <v>131</v>
      </c>
    </row>
    <row r="5" spans="2:13" x14ac:dyDescent="0.25">
      <c r="B5" s="28" t="s">
        <v>0</v>
      </c>
      <c r="C5" t="s">
        <v>131</v>
      </c>
      <c r="D5" t="s">
        <v>132</v>
      </c>
      <c r="E5" t="s">
        <v>70</v>
      </c>
      <c r="G5" s="28" t="s">
        <v>0</v>
      </c>
      <c r="H5" t="s">
        <v>131</v>
      </c>
      <c r="I5" t="s">
        <v>132</v>
      </c>
      <c r="J5" t="s">
        <v>70</v>
      </c>
      <c r="L5" s="28" t="s">
        <v>6</v>
      </c>
      <c r="M5" t="s">
        <v>131</v>
      </c>
    </row>
    <row r="6" spans="2:13" x14ac:dyDescent="0.25">
      <c r="B6" s="29" t="s">
        <v>521</v>
      </c>
      <c r="C6" s="30">
        <v>281</v>
      </c>
      <c r="D6" s="30">
        <v>10</v>
      </c>
      <c r="E6" s="30">
        <v>291</v>
      </c>
      <c r="G6" s="29" t="s">
        <v>521</v>
      </c>
      <c r="H6" s="30">
        <v>276</v>
      </c>
      <c r="I6" s="30">
        <v>15</v>
      </c>
      <c r="J6" s="30">
        <v>291</v>
      </c>
      <c r="K6" s="30"/>
      <c r="L6" s="28" t="s">
        <v>7</v>
      </c>
      <c r="M6" t="s">
        <v>131</v>
      </c>
    </row>
    <row r="7" spans="2:13" x14ac:dyDescent="0.25">
      <c r="B7" s="73" t="s">
        <v>106</v>
      </c>
      <c r="C7" s="30">
        <v>1</v>
      </c>
      <c r="D7" s="30"/>
      <c r="E7" s="30">
        <v>1</v>
      </c>
      <c r="G7" s="73" t="s">
        <v>126</v>
      </c>
      <c r="H7" s="30">
        <v>259</v>
      </c>
      <c r="I7" s="30">
        <v>13</v>
      </c>
      <c r="J7" s="30">
        <v>272</v>
      </c>
      <c r="K7" s="30"/>
    </row>
    <row r="8" spans="2:13" x14ac:dyDescent="0.25">
      <c r="B8" s="73" t="s">
        <v>126</v>
      </c>
      <c r="C8" s="30">
        <v>265</v>
      </c>
      <c r="D8" s="30">
        <v>7</v>
      </c>
      <c r="E8" s="30">
        <v>272</v>
      </c>
      <c r="G8" s="73" t="s">
        <v>164</v>
      </c>
      <c r="H8" s="30">
        <v>1</v>
      </c>
      <c r="I8" s="30"/>
      <c r="J8" s="30">
        <v>1</v>
      </c>
      <c r="K8" s="30"/>
      <c r="L8" s="28" t="s">
        <v>0</v>
      </c>
      <c r="M8" t="s">
        <v>83</v>
      </c>
    </row>
    <row r="9" spans="2:13" x14ac:dyDescent="0.25">
      <c r="B9" s="73" t="s">
        <v>203</v>
      </c>
      <c r="C9" s="30">
        <v>14</v>
      </c>
      <c r="D9" s="30">
        <v>3</v>
      </c>
      <c r="E9" s="30">
        <v>17</v>
      </c>
      <c r="G9" s="73" t="s">
        <v>203</v>
      </c>
      <c r="H9" s="30">
        <v>15</v>
      </c>
      <c r="I9" s="30">
        <v>2</v>
      </c>
      <c r="J9" s="30">
        <v>17</v>
      </c>
      <c r="K9" s="30"/>
      <c r="L9" s="29" t="s">
        <v>521</v>
      </c>
      <c r="M9" s="30">
        <v>252</v>
      </c>
    </row>
    <row r="10" spans="2:13" x14ac:dyDescent="0.25">
      <c r="B10" s="73" t="s">
        <v>164</v>
      </c>
      <c r="C10" s="30">
        <v>1</v>
      </c>
      <c r="D10" s="30"/>
      <c r="E10" s="30">
        <v>1</v>
      </c>
      <c r="G10" s="73" t="s">
        <v>106</v>
      </c>
      <c r="H10" s="30">
        <v>1</v>
      </c>
      <c r="I10" s="30"/>
      <c r="J10" s="30">
        <v>1</v>
      </c>
      <c r="K10" s="30"/>
      <c r="L10" s="73" t="s">
        <v>106</v>
      </c>
      <c r="M10" s="30">
        <v>1</v>
      </c>
    </row>
    <row r="11" spans="2:13" x14ac:dyDescent="0.25">
      <c r="B11" s="29" t="s">
        <v>70</v>
      </c>
      <c r="C11" s="30">
        <v>281</v>
      </c>
      <c r="D11" s="30">
        <v>10</v>
      </c>
      <c r="E11" s="30">
        <v>291</v>
      </c>
      <c r="G11" s="29" t="s">
        <v>70</v>
      </c>
      <c r="H11" s="30">
        <v>276</v>
      </c>
      <c r="I11" s="30">
        <v>15</v>
      </c>
      <c r="J11" s="30">
        <v>291</v>
      </c>
      <c r="K11" s="30"/>
      <c r="L11" s="73" t="s">
        <v>126</v>
      </c>
      <c r="M11" s="30">
        <v>235</v>
      </c>
    </row>
    <row r="12" spans="2:13" x14ac:dyDescent="0.25">
      <c r="K12" s="30"/>
      <c r="L12" s="73" t="s">
        <v>203</v>
      </c>
      <c r="M12" s="30">
        <v>15</v>
      </c>
    </row>
    <row r="13" spans="2:13" x14ac:dyDescent="0.25">
      <c r="K13" s="30"/>
      <c r="L13" s="73" t="s">
        <v>164</v>
      </c>
      <c r="M13" s="30">
        <v>1</v>
      </c>
    </row>
    <row r="14" spans="2:13" x14ac:dyDescent="0.25">
      <c r="L14" s="29" t="s">
        <v>70</v>
      </c>
      <c r="M14" s="30">
        <v>252</v>
      </c>
    </row>
  </sheetData>
  <pageMargins left="0.7" right="0.7" top="0.75" bottom="0.75" header="0.3" footer="0.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3"/>
  <sheetViews>
    <sheetView workbookViewId="0">
      <selection activeCell="C11" sqref="C11"/>
    </sheetView>
  </sheetViews>
  <sheetFormatPr defaultRowHeight="15" x14ac:dyDescent="0.25"/>
  <cols>
    <col min="2" max="2" width="24" bestFit="1" customWidth="1"/>
    <col min="3" max="3" width="10.140625" bestFit="1" customWidth="1"/>
    <col min="4" max="4" width="17.5703125" bestFit="1" customWidth="1"/>
    <col min="5" max="5" width="21.140625" bestFit="1" customWidth="1"/>
    <col min="6" max="6" width="11.140625" customWidth="1"/>
    <col min="7" max="7" width="24" bestFit="1" customWidth="1"/>
    <col min="8" max="8" width="16.140625" bestFit="1" customWidth="1"/>
    <col min="9" max="10" width="2" bestFit="1" customWidth="1"/>
    <col min="11" max="11" width="11.28515625" bestFit="1" customWidth="1"/>
    <col min="12" max="12" width="10.140625" bestFit="1" customWidth="1"/>
    <col min="13" max="14" width="2" bestFit="1" customWidth="1"/>
    <col min="15" max="15" width="10.140625" bestFit="1" customWidth="1"/>
    <col min="16" max="17" width="11.28515625" bestFit="1" customWidth="1"/>
  </cols>
  <sheetData>
    <row r="1" spans="1:11" ht="26.25" x14ac:dyDescent="0.4">
      <c r="A1" s="44" t="s">
        <v>87</v>
      </c>
    </row>
    <row r="2" spans="1:11" x14ac:dyDescent="0.25">
      <c r="G2" s="28" t="s">
        <v>82</v>
      </c>
      <c r="H2" t="s">
        <v>68</v>
      </c>
    </row>
    <row r="4" spans="1:11" x14ac:dyDescent="0.25">
      <c r="B4" s="28" t="s">
        <v>95</v>
      </c>
      <c r="C4" t="s">
        <v>33</v>
      </c>
      <c r="D4" t="s">
        <v>90</v>
      </c>
      <c r="E4" t="s">
        <v>89</v>
      </c>
      <c r="G4" s="28" t="s">
        <v>93</v>
      </c>
      <c r="H4" s="28" t="s">
        <v>92</v>
      </c>
    </row>
    <row r="5" spans="1:11" x14ac:dyDescent="0.25">
      <c r="B5" s="29" t="s">
        <v>521</v>
      </c>
      <c r="C5" s="30">
        <v>291</v>
      </c>
      <c r="D5" s="30">
        <v>212</v>
      </c>
      <c r="E5" s="30">
        <v>998</v>
      </c>
      <c r="G5" s="28" t="s">
        <v>94</v>
      </c>
      <c r="H5">
        <v>0</v>
      </c>
      <c r="I5">
        <v>1</v>
      </c>
      <c r="J5">
        <v>2</v>
      </c>
      <c r="K5" t="s">
        <v>70</v>
      </c>
    </row>
    <row r="6" spans="1:11" x14ac:dyDescent="0.25">
      <c r="B6" s="73" t="s">
        <v>106</v>
      </c>
      <c r="C6" s="30">
        <v>173</v>
      </c>
      <c r="D6" s="30">
        <v>18</v>
      </c>
      <c r="E6" s="30">
        <v>501</v>
      </c>
      <c r="G6" s="29" t="s">
        <v>521</v>
      </c>
      <c r="H6" s="30">
        <v>286</v>
      </c>
      <c r="I6" s="30">
        <v>4</v>
      </c>
      <c r="J6" s="30">
        <v>1</v>
      </c>
      <c r="K6" s="30">
        <v>291</v>
      </c>
    </row>
    <row r="7" spans="1:11" x14ac:dyDescent="0.25">
      <c r="B7" s="73" t="s">
        <v>146</v>
      </c>
      <c r="C7" s="30">
        <v>105</v>
      </c>
      <c r="D7" s="30">
        <v>186</v>
      </c>
      <c r="E7" s="30">
        <v>419</v>
      </c>
      <c r="G7" s="73" t="s">
        <v>106</v>
      </c>
      <c r="H7" s="30">
        <v>171</v>
      </c>
      <c r="I7" s="30">
        <v>1</v>
      </c>
      <c r="J7" s="30">
        <v>1</v>
      </c>
      <c r="K7" s="30">
        <v>173</v>
      </c>
    </row>
    <row r="8" spans="1:11" x14ac:dyDescent="0.25">
      <c r="B8" s="73" t="s">
        <v>153</v>
      </c>
      <c r="C8" s="30">
        <v>5</v>
      </c>
      <c r="D8" s="30">
        <v>2</v>
      </c>
      <c r="E8" s="30">
        <v>44</v>
      </c>
      <c r="G8" s="73" t="s">
        <v>146</v>
      </c>
      <c r="H8" s="30">
        <v>102</v>
      </c>
      <c r="I8" s="30">
        <v>3</v>
      </c>
      <c r="J8" s="30"/>
      <c r="K8" s="30">
        <v>105</v>
      </c>
    </row>
    <row r="9" spans="1:11" x14ac:dyDescent="0.25">
      <c r="B9" s="73" t="s">
        <v>164</v>
      </c>
      <c r="C9" s="30">
        <v>1</v>
      </c>
      <c r="D9" s="30"/>
      <c r="E9" s="30">
        <v>2</v>
      </c>
      <c r="G9" s="73" t="s">
        <v>153</v>
      </c>
      <c r="H9" s="30">
        <v>5</v>
      </c>
      <c r="I9" s="30"/>
      <c r="J9" s="30"/>
      <c r="K9" s="30">
        <v>5</v>
      </c>
    </row>
    <row r="10" spans="1:11" x14ac:dyDescent="0.25">
      <c r="B10" s="73" t="s">
        <v>126</v>
      </c>
      <c r="C10" s="30">
        <v>1</v>
      </c>
      <c r="D10" s="30">
        <v>2</v>
      </c>
      <c r="E10" s="30">
        <v>2</v>
      </c>
      <c r="G10" s="73" t="s">
        <v>164</v>
      </c>
      <c r="H10" s="30">
        <v>1</v>
      </c>
      <c r="I10" s="30"/>
      <c r="J10" s="30"/>
      <c r="K10" s="30">
        <v>1</v>
      </c>
    </row>
    <row r="11" spans="1:11" x14ac:dyDescent="0.25">
      <c r="B11" s="73" t="s">
        <v>288</v>
      </c>
      <c r="C11" s="30">
        <v>6</v>
      </c>
      <c r="D11" s="30">
        <v>4</v>
      </c>
      <c r="E11" s="30">
        <v>30</v>
      </c>
      <c r="G11" s="73" t="s">
        <v>126</v>
      </c>
      <c r="H11" s="30">
        <v>1</v>
      </c>
      <c r="I11" s="30"/>
      <c r="J11" s="30"/>
      <c r="K11" s="30">
        <v>1</v>
      </c>
    </row>
    <row r="12" spans="1:11" x14ac:dyDescent="0.25">
      <c r="B12" s="29" t="s">
        <v>70</v>
      </c>
      <c r="C12" s="30">
        <v>291</v>
      </c>
      <c r="D12" s="30">
        <v>212</v>
      </c>
      <c r="E12" s="30">
        <v>998</v>
      </c>
      <c r="G12" s="73" t="s">
        <v>288</v>
      </c>
      <c r="H12" s="30">
        <v>6</v>
      </c>
      <c r="I12" s="30"/>
      <c r="J12" s="30"/>
      <c r="K12" s="30">
        <v>6</v>
      </c>
    </row>
    <row r="13" spans="1:11" x14ac:dyDescent="0.25">
      <c r="G13" s="29" t="s">
        <v>70</v>
      </c>
      <c r="H13" s="30">
        <v>286</v>
      </c>
      <c r="I13" s="30">
        <v>4</v>
      </c>
      <c r="J13" s="30">
        <v>1</v>
      </c>
      <c r="K13" s="30">
        <v>291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C2:D678"/>
  <sheetViews>
    <sheetView workbookViewId="0"/>
  </sheetViews>
  <sheetFormatPr defaultRowHeight="15" x14ac:dyDescent="0.25"/>
  <cols>
    <col min="3" max="3" width="184.140625" bestFit="1" customWidth="1"/>
    <col min="4" max="4" width="10.140625" bestFit="1" customWidth="1"/>
    <col min="5" max="7" width="11.28515625" customWidth="1"/>
    <col min="8" max="8" width="11.28515625" bestFit="1" customWidth="1"/>
    <col min="9" max="10" width="9" bestFit="1" customWidth="1"/>
    <col min="11" max="11" width="11.28515625" bestFit="1" customWidth="1"/>
    <col min="12" max="12" width="4.140625" bestFit="1" customWidth="1"/>
    <col min="13" max="13" width="8.42578125" bestFit="1" customWidth="1"/>
    <col min="14" max="14" width="6" bestFit="1" customWidth="1"/>
    <col min="15" max="15" width="4.140625" bestFit="1" customWidth="1"/>
    <col min="16" max="17" width="9" bestFit="1" customWidth="1"/>
    <col min="19" max="19" width="7.28515625" bestFit="1" customWidth="1"/>
    <col min="20" max="21" width="12.140625" bestFit="1" customWidth="1"/>
    <col min="22" max="22" width="11.28515625" bestFit="1" customWidth="1"/>
  </cols>
  <sheetData>
    <row r="2" spans="3:4" x14ac:dyDescent="0.25">
      <c r="C2" s="28" t="s">
        <v>25</v>
      </c>
      <c r="D2" t="s">
        <v>68</v>
      </c>
    </row>
    <row r="3" spans="3:4" x14ac:dyDescent="0.25">
      <c r="C3" s="28" t="s">
        <v>24</v>
      </c>
      <c r="D3" t="s">
        <v>68</v>
      </c>
    </row>
    <row r="4" spans="3:4" x14ac:dyDescent="0.25">
      <c r="C4" s="56" t="s">
        <v>5</v>
      </c>
      <c r="D4" t="s">
        <v>68</v>
      </c>
    </row>
    <row r="5" spans="3:4" x14ac:dyDescent="0.25">
      <c r="C5" s="28" t="s">
        <v>80</v>
      </c>
      <c r="D5" t="s">
        <v>68</v>
      </c>
    </row>
    <row r="6" spans="3:4" x14ac:dyDescent="0.25">
      <c r="C6" s="28" t="s">
        <v>16</v>
      </c>
      <c r="D6" t="s">
        <v>68</v>
      </c>
    </row>
    <row r="7" spans="3:4" x14ac:dyDescent="0.25">
      <c r="C7" s="28" t="s">
        <v>17</v>
      </c>
      <c r="D7" t="s">
        <v>68</v>
      </c>
    </row>
    <row r="8" spans="3:4" x14ac:dyDescent="0.25">
      <c r="C8" s="56" t="s">
        <v>79</v>
      </c>
      <c r="D8" t="s">
        <v>68</v>
      </c>
    </row>
    <row r="9" spans="3:4" x14ac:dyDescent="0.25">
      <c r="C9" s="28" t="s">
        <v>78</v>
      </c>
      <c r="D9" t="s">
        <v>68</v>
      </c>
    </row>
    <row r="10" spans="3:4" x14ac:dyDescent="0.25">
      <c r="C10" s="28" t="s">
        <v>77</v>
      </c>
      <c r="D10" t="s">
        <v>68</v>
      </c>
    </row>
    <row r="12" spans="3:4" x14ac:dyDescent="0.25">
      <c r="C12" s="28" t="s">
        <v>69</v>
      </c>
      <c r="D12" t="s">
        <v>33</v>
      </c>
    </row>
    <row r="13" spans="3:4" x14ac:dyDescent="0.25">
      <c r="C13" s="29" t="s">
        <v>124</v>
      </c>
      <c r="D13" s="30">
        <v>29</v>
      </c>
    </row>
    <row r="14" spans="3:4" x14ac:dyDescent="0.25">
      <c r="C14" s="73" t="s">
        <v>123</v>
      </c>
      <c r="D14" s="30">
        <v>4</v>
      </c>
    </row>
    <row r="15" spans="3:4" x14ac:dyDescent="0.25">
      <c r="C15" s="46" t="s">
        <v>521</v>
      </c>
      <c r="D15" s="30">
        <v>4</v>
      </c>
    </row>
    <row r="16" spans="3:4" x14ac:dyDescent="0.25">
      <c r="C16" s="59" t="s">
        <v>147</v>
      </c>
      <c r="D16" s="30">
        <v>4</v>
      </c>
    </row>
    <row r="17" spans="3:4" x14ac:dyDescent="0.25">
      <c r="C17" s="76">
        <v>45748</v>
      </c>
      <c r="D17" s="30">
        <v>1</v>
      </c>
    </row>
    <row r="18" spans="3:4" x14ac:dyDescent="0.25">
      <c r="C18" s="77" t="s">
        <v>344</v>
      </c>
      <c r="D18" s="30">
        <v>1</v>
      </c>
    </row>
    <row r="19" spans="3:4" x14ac:dyDescent="0.25">
      <c r="C19" s="76">
        <v>45762</v>
      </c>
      <c r="D19" s="30">
        <v>1</v>
      </c>
    </row>
    <row r="20" spans="3:4" x14ac:dyDescent="0.25">
      <c r="C20" s="77" t="s">
        <v>366</v>
      </c>
      <c r="D20" s="30">
        <v>1</v>
      </c>
    </row>
    <row r="21" spans="3:4" x14ac:dyDescent="0.25">
      <c r="C21" s="76">
        <v>45764</v>
      </c>
      <c r="D21" s="30">
        <v>1</v>
      </c>
    </row>
    <row r="22" spans="3:4" x14ac:dyDescent="0.25">
      <c r="C22" s="77" t="s">
        <v>370</v>
      </c>
      <c r="D22" s="30">
        <v>1</v>
      </c>
    </row>
    <row r="23" spans="3:4" x14ac:dyDescent="0.25">
      <c r="C23" s="76">
        <v>45775</v>
      </c>
      <c r="D23" s="30">
        <v>1</v>
      </c>
    </row>
    <row r="24" spans="3:4" x14ac:dyDescent="0.25">
      <c r="C24" s="77" t="s">
        <v>125</v>
      </c>
      <c r="D24" s="30">
        <v>1</v>
      </c>
    </row>
    <row r="25" spans="3:4" x14ac:dyDescent="0.25">
      <c r="C25" s="73" t="s">
        <v>149</v>
      </c>
      <c r="D25" s="30">
        <v>14</v>
      </c>
    </row>
    <row r="26" spans="3:4" x14ac:dyDescent="0.25">
      <c r="C26" s="46" t="s">
        <v>521</v>
      </c>
      <c r="D26" s="30">
        <v>14</v>
      </c>
    </row>
    <row r="27" spans="3:4" x14ac:dyDescent="0.25">
      <c r="C27" s="59" t="s">
        <v>147</v>
      </c>
      <c r="D27" s="30">
        <v>14</v>
      </c>
    </row>
    <row r="28" spans="3:4" x14ac:dyDescent="0.25">
      <c r="C28" s="76">
        <v>45748</v>
      </c>
      <c r="D28" s="30">
        <v>1</v>
      </c>
    </row>
    <row r="29" spans="3:4" x14ac:dyDescent="0.25">
      <c r="C29" s="77" t="s">
        <v>159</v>
      </c>
      <c r="D29" s="30">
        <v>1</v>
      </c>
    </row>
    <row r="30" spans="3:4" x14ac:dyDescent="0.25">
      <c r="C30" s="76">
        <v>45751</v>
      </c>
      <c r="D30" s="30">
        <v>1</v>
      </c>
    </row>
    <row r="31" spans="3:4" x14ac:dyDescent="0.25">
      <c r="C31" s="77" t="s">
        <v>168</v>
      </c>
      <c r="D31" s="30">
        <v>1</v>
      </c>
    </row>
    <row r="32" spans="3:4" x14ac:dyDescent="0.25">
      <c r="C32" s="76">
        <v>45754</v>
      </c>
      <c r="D32" s="30">
        <v>2</v>
      </c>
    </row>
    <row r="33" spans="3:4" x14ac:dyDescent="0.25">
      <c r="C33" s="77" t="s">
        <v>169</v>
      </c>
      <c r="D33" s="30">
        <v>1</v>
      </c>
    </row>
    <row r="34" spans="3:4" x14ac:dyDescent="0.25">
      <c r="C34" s="77" t="s">
        <v>170</v>
      </c>
      <c r="D34" s="30">
        <v>1</v>
      </c>
    </row>
    <row r="35" spans="3:4" x14ac:dyDescent="0.25">
      <c r="C35" s="76">
        <v>45756</v>
      </c>
      <c r="D35" s="30">
        <v>2</v>
      </c>
    </row>
    <row r="36" spans="3:4" x14ac:dyDescent="0.25">
      <c r="C36" s="77" t="s">
        <v>150</v>
      </c>
      <c r="D36" s="30">
        <v>1</v>
      </c>
    </row>
    <row r="37" spans="3:4" x14ac:dyDescent="0.25">
      <c r="C37" s="77" t="s">
        <v>171</v>
      </c>
      <c r="D37" s="30">
        <v>1</v>
      </c>
    </row>
    <row r="38" spans="3:4" x14ac:dyDescent="0.25">
      <c r="C38" s="76">
        <v>45757</v>
      </c>
      <c r="D38" s="30">
        <v>1</v>
      </c>
    </row>
    <row r="39" spans="3:4" x14ac:dyDescent="0.25">
      <c r="C39" s="77" t="s">
        <v>152</v>
      </c>
      <c r="D39" s="30">
        <v>1</v>
      </c>
    </row>
    <row r="40" spans="3:4" x14ac:dyDescent="0.25">
      <c r="C40" s="76">
        <v>45758</v>
      </c>
      <c r="D40" s="30">
        <v>1</v>
      </c>
    </row>
    <row r="41" spans="3:4" x14ac:dyDescent="0.25">
      <c r="C41" s="77" t="s">
        <v>152</v>
      </c>
      <c r="D41" s="30">
        <v>1</v>
      </c>
    </row>
    <row r="42" spans="3:4" x14ac:dyDescent="0.25">
      <c r="C42" s="76">
        <v>45762</v>
      </c>
      <c r="D42" s="30">
        <v>1</v>
      </c>
    </row>
    <row r="43" spans="3:4" x14ac:dyDescent="0.25">
      <c r="C43" s="77" t="s">
        <v>155</v>
      </c>
      <c r="D43" s="30">
        <v>1</v>
      </c>
    </row>
    <row r="44" spans="3:4" x14ac:dyDescent="0.25">
      <c r="C44" s="76">
        <v>45763</v>
      </c>
      <c r="D44" s="30">
        <v>1</v>
      </c>
    </row>
    <row r="45" spans="3:4" x14ac:dyDescent="0.25">
      <c r="C45" s="77" t="s">
        <v>156</v>
      </c>
      <c r="D45" s="30">
        <v>1</v>
      </c>
    </row>
    <row r="46" spans="3:4" x14ac:dyDescent="0.25">
      <c r="C46" s="76">
        <v>45769</v>
      </c>
      <c r="D46" s="30">
        <v>2</v>
      </c>
    </row>
    <row r="47" spans="3:4" x14ac:dyDescent="0.25">
      <c r="C47" s="77" t="s">
        <v>161</v>
      </c>
      <c r="D47" s="30">
        <v>1</v>
      </c>
    </row>
    <row r="48" spans="3:4" x14ac:dyDescent="0.25">
      <c r="C48" s="77" t="s">
        <v>163</v>
      </c>
      <c r="D48" s="30">
        <v>1</v>
      </c>
    </row>
    <row r="49" spans="3:4" x14ac:dyDescent="0.25">
      <c r="C49" s="76">
        <v>45770</v>
      </c>
      <c r="D49" s="30">
        <v>1</v>
      </c>
    </row>
    <row r="50" spans="3:4" x14ac:dyDescent="0.25">
      <c r="C50" s="77" t="s">
        <v>165</v>
      </c>
      <c r="D50" s="30">
        <v>1</v>
      </c>
    </row>
    <row r="51" spans="3:4" x14ac:dyDescent="0.25">
      <c r="C51" s="76">
        <v>45772</v>
      </c>
      <c r="D51" s="30">
        <v>1</v>
      </c>
    </row>
    <row r="52" spans="3:4" x14ac:dyDescent="0.25">
      <c r="C52" s="77" t="s">
        <v>166</v>
      </c>
      <c r="D52" s="30">
        <v>1</v>
      </c>
    </row>
    <row r="53" spans="3:4" x14ac:dyDescent="0.25">
      <c r="C53" s="73" t="s">
        <v>200</v>
      </c>
      <c r="D53" s="30">
        <v>6</v>
      </c>
    </row>
    <row r="54" spans="3:4" x14ac:dyDescent="0.25">
      <c r="C54" s="46" t="s">
        <v>521</v>
      </c>
      <c r="D54" s="30">
        <v>6</v>
      </c>
    </row>
    <row r="55" spans="3:4" x14ac:dyDescent="0.25">
      <c r="C55" s="59" t="s">
        <v>147</v>
      </c>
      <c r="D55" s="30">
        <v>6</v>
      </c>
    </row>
    <row r="56" spans="3:4" x14ac:dyDescent="0.25">
      <c r="C56" s="76">
        <v>45754</v>
      </c>
      <c r="D56" s="30">
        <v>3</v>
      </c>
    </row>
    <row r="57" spans="3:4" x14ac:dyDescent="0.25">
      <c r="C57" s="77" t="s">
        <v>201</v>
      </c>
      <c r="D57" s="30">
        <v>1</v>
      </c>
    </row>
    <row r="58" spans="3:4" x14ac:dyDescent="0.25">
      <c r="C58" s="77" t="s">
        <v>202</v>
      </c>
      <c r="D58" s="30">
        <v>1</v>
      </c>
    </row>
    <row r="59" spans="3:4" x14ac:dyDescent="0.25">
      <c r="C59" s="77" t="s">
        <v>414</v>
      </c>
      <c r="D59" s="30">
        <v>1</v>
      </c>
    </row>
    <row r="60" spans="3:4" x14ac:dyDescent="0.25">
      <c r="C60" s="76">
        <v>45758</v>
      </c>
      <c r="D60" s="30">
        <v>1</v>
      </c>
    </row>
    <row r="61" spans="3:4" x14ac:dyDescent="0.25">
      <c r="C61" s="77" t="s">
        <v>204</v>
      </c>
      <c r="D61" s="30">
        <v>1</v>
      </c>
    </row>
    <row r="62" spans="3:4" x14ac:dyDescent="0.25">
      <c r="C62" s="76">
        <v>45771</v>
      </c>
      <c r="D62" s="30">
        <v>1</v>
      </c>
    </row>
    <row r="63" spans="3:4" x14ac:dyDescent="0.25">
      <c r="C63" s="77" t="s">
        <v>205</v>
      </c>
      <c r="D63" s="30">
        <v>1</v>
      </c>
    </row>
    <row r="64" spans="3:4" x14ac:dyDescent="0.25">
      <c r="C64" s="76">
        <v>45777</v>
      </c>
      <c r="D64" s="30">
        <v>1</v>
      </c>
    </row>
    <row r="65" spans="3:4" x14ac:dyDescent="0.25">
      <c r="C65" s="77" t="s">
        <v>208</v>
      </c>
      <c r="D65" s="30">
        <v>1</v>
      </c>
    </row>
    <row r="66" spans="3:4" x14ac:dyDescent="0.25">
      <c r="C66" s="73" t="s">
        <v>460</v>
      </c>
      <c r="D66" s="30">
        <v>3</v>
      </c>
    </row>
    <row r="67" spans="3:4" x14ac:dyDescent="0.25">
      <c r="C67" s="46" t="s">
        <v>521</v>
      </c>
      <c r="D67" s="30">
        <v>3</v>
      </c>
    </row>
    <row r="68" spans="3:4" x14ac:dyDescent="0.25">
      <c r="C68" s="59" t="s">
        <v>147</v>
      </c>
      <c r="D68" s="30">
        <v>3</v>
      </c>
    </row>
    <row r="69" spans="3:4" x14ac:dyDescent="0.25">
      <c r="C69" s="76">
        <v>45757</v>
      </c>
      <c r="D69" s="30">
        <v>1</v>
      </c>
    </row>
    <row r="70" spans="3:4" x14ac:dyDescent="0.25">
      <c r="C70" s="77" t="s">
        <v>461</v>
      </c>
      <c r="D70" s="30">
        <v>1</v>
      </c>
    </row>
    <row r="71" spans="3:4" x14ac:dyDescent="0.25">
      <c r="C71" s="76">
        <v>45775</v>
      </c>
      <c r="D71" s="30">
        <v>1</v>
      </c>
    </row>
    <row r="72" spans="3:4" x14ac:dyDescent="0.25">
      <c r="C72" s="77" t="s">
        <v>511</v>
      </c>
      <c r="D72" s="30">
        <v>1</v>
      </c>
    </row>
    <row r="73" spans="3:4" x14ac:dyDescent="0.25">
      <c r="C73" s="76">
        <v>45777</v>
      </c>
      <c r="D73" s="30">
        <v>1</v>
      </c>
    </row>
    <row r="74" spans="3:4" x14ac:dyDescent="0.25">
      <c r="C74" s="77" t="s">
        <v>464</v>
      </c>
      <c r="D74" s="30">
        <v>1</v>
      </c>
    </row>
    <row r="75" spans="3:4" x14ac:dyDescent="0.25">
      <c r="C75" s="73" t="s">
        <v>462</v>
      </c>
      <c r="D75" s="30">
        <v>1</v>
      </c>
    </row>
    <row r="76" spans="3:4" x14ac:dyDescent="0.25">
      <c r="C76" s="46" t="s">
        <v>521</v>
      </c>
      <c r="D76" s="30">
        <v>1</v>
      </c>
    </row>
    <row r="77" spans="3:4" x14ac:dyDescent="0.25">
      <c r="C77" s="59" t="s">
        <v>147</v>
      </c>
      <c r="D77" s="30">
        <v>1</v>
      </c>
    </row>
    <row r="78" spans="3:4" x14ac:dyDescent="0.25">
      <c r="C78" s="76">
        <v>45769</v>
      </c>
      <c r="D78" s="30">
        <v>1</v>
      </c>
    </row>
    <row r="79" spans="3:4" x14ac:dyDescent="0.25">
      <c r="C79" s="77" t="s">
        <v>463</v>
      </c>
      <c r="D79" s="30">
        <v>1</v>
      </c>
    </row>
    <row r="80" spans="3:4" x14ac:dyDescent="0.25">
      <c r="C80" s="73" t="s">
        <v>467</v>
      </c>
      <c r="D80" s="30">
        <v>1</v>
      </c>
    </row>
    <row r="81" spans="3:4" x14ac:dyDescent="0.25">
      <c r="C81" s="46" t="s">
        <v>521</v>
      </c>
      <c r="D81" s="30">
        <v>1</v>
      </c>
    </row>
    <row r="82" spans="3:4" x14ac:dyDescent="0.25">
      <c r="C82" s="59" t="s">
        <v>147</v>
      </c>
      <c r="D82" s="30">
        <v>1</v>
      </c>
    </row>
    <row r="83" spans="3:4" x14ac:dyDescent="0.25">
      <c r="C83" s="76">
        <v>45758</v>
      </c>
      <c r="D83" s="30">
        <v>1</v>
      </c>
    </row>
    <row r="84" spans="3:4" x14ac:dyDescent="0.25">
      <c r="C84" s="77" t="s">
        <v>468</v>
      </c>
      <c r="D84" s="30">
        <v>1</v>
      </c>
    </row>
    <row r="85" spans="3:4" x14ac:dyDescent="0.25">
      <c r="C85" s="29" t="s">
        <v>134</v>
      </c>
      <c r="D85" s="30">
        <v>101</v>
      </c>
    </row>
    <row r="86" spans="3:4" x14ac:dyDescent="0.25">
      <c r="C86" s="73" t="s">
        <v>133</v>
      </c>
      <c r="D86" s="30">
        <v>9</v>
      </c>
    </row>
    <row r="87" spans="3:4" x14ac:dyDescent="0.25">
      <c r="C87" s="46" t="s">
        <v>521</v>
      </c>
      <c r="D87" s="30">
        <v>9</v>
      </c>
    </row>
    <row r="88" spans="3:4" x14ac:dyDescent="0.25">
      <c r="C88" s="59" t="s">
        <v>147</v>
      </c>
      <c r="D88" s="30">
        <v>9</v>
      </c>
    </row>
    <row r="89" spans="3:4" x14ac:dyDescent="0.25">
      <c r="C89" s="76">
        <v>45750</v>
      </c>
      <c r="D89" s="30">
        <v>1</v>
      </c>
    </row>
    <row r="90" spans="3:4" x14ac:dyDescent="0.25">
      <c r="C90" s="77" t="s">
        <v>245</v>
      </c>
      <c r="D90" s="30">
        <v>1</v>
      </c>
    </row>
    <row r="91" spans="3:4" x14ac:dyDescent="0.25">
      <c r="C91" s="76">
        <v>45754</v>
      </c>
      <c r="D91" s="30">
        <v>1</v>
      </c>
    </row>
    <row r="92" spans="3:4" x14ac:dyDescent="0.25">
      <c r="C92" s="77" t="s">
        <v>265</v>
      </c>
      <c r="D92" s="30">
        <v>1</v>
      </c>
    </row>
    <row r="93" spans="3:4" x14ac:dyDescent="0.25">
      <c r="C93" s="76">
        <v>45755</v>
      </c>
      <c r="D93" s="30">
        <v>2</v>
      </c>
    </row>
    <row r="94" spans="3:4" x14ac:dyDescent="0.25">
      <c r="C94" s="77" t="s">
        <v>268</v>
      </c>
      <c r="D94" s="30">
        <v>1</v>
      </c>
    </row>
    <row r="95" spans="3:4" x14ac:dyDescent="0.25">
      <c r="C95" s="77" t="s">
        <v>271</v>
      </c>
      <c r="D95" s="30">
        <v>1</v>
      </c>
    </row>
    <row r="96" spans="3:4" x14ac:dyDescent="0.25">
      <c r="C96" s="76">
        <v>45757</v>
      </c>
      <c r="D96" s="30">
        <v>1</v>
      </c>
    </row>
    <row r="97" spans="3:4" x14ac:dyDescent="0.25">
      <c r="C97" s="77" t="s">
        <v>219</v>
      </c>
      <c r="D97" s="30">
        <v>1</v>
      </c>
    </row>
    <row r="98" spans="3:4" x14ac:dyDescent="0.25">
      <c r="C98" s="76">
        <v>45771</v>
      </c>
      <c r="D98" s="30">
        <v>1</v>
      </c>
    </row>
    <row r="99" spans="3:4" x14ac:dyDescent="0.25">
      <c r="C99" s="77" t="s">
        <v>135</v>
      </c>
      <c r="D99" s="30">
        <v>1</v>
      </c>
    </row>
    <row r="100" spans="3:4" x14ac:dyDescent="0.25">
      <c r="C100" s="76">
        <v>45772</v>
      </c>
      <c r="D100" s="30">
        <v>1</v>
      </c>
    </row>
    <row r="101" spans="3:4" x14ac:dyDescent="0.25">
      <c r="C101" s="77" t="s">
        <v>287</v>
      </c>
      <c r="D101" s="30">
        <v>1</v>
      </c>
    </row>
    <row r="102" spans="3:4" x14ac:dyDescent="0.25">
      <c r="C102" s="76">
        <v>45775</v>
      </c>
      <c r="D102" s="30">
        <v>1</v>
      </c>
    </row>
    <row r="103" spans="3:4" x14ac:dyDescent="0.25">
      <c r="C103" s="77" t="s">
        <v>284</v>
      </c>
      <c r="D103" s="30">
        <v>1</v>
      </c>
    </row>
    <row r="104" spans="3:4" x14ac:dyDescent="0.25">
      <c r="C104" s="76">
        <v>45777</v>
      </c>
      <c r="D104" s="30">
        <v>1</v>
      </c>
    </row>
    <row r="105" spans="3:4" x14ac:dyDescent="0.25">
      <c r="C105" s="77" t="s">
        <v>252</v>
      </c>
      <c r="D105" s="30">
        <v>1</v>
      </c>
    </row>
    <row r="106" spans="3:4" x14ac:dyDescent="0.25">
      <c r="C106" s="73" t="s">
        <v>183</v>
      </c>
      <c r="D106" s="30">
        <v>7</v>
      </c>
    </row>
    <row r="107" spans="3:4" x14ac:dyDescent="0.25">
      <c r="C107" s="46" t="s">
        <v>521</v>
      </c>
      <c r="D107" s="30">
        <v>7</v>
      </c>
    </row>
    <row r="108" spans="3:4" x14ac:dyDescent="0.25">
      <c r="C108" s="59" t="s">
        <v>147</v>
      </c>
      <c r="D108" s="30">
        <v>7</v>
      </c>
    </row>
    <row r="109" spans="3:4" x14ac:dyDescent="0.25">
      <c r="C109" s="76">
        <v>45748</v>
      </c>
      <c r="D109" s="30">
        <v>1</v>
      </c>
    </row>
    <row r="110" spans="3:4" x14ac:dyDescent="0.25">
      <c r="C110" s="77" t="s">
        <v>195</v>
      </c>
      <c r="D110" s="30">
        <v>1</v>
      </c>
    </row>
    <row r="111" spans="3:4" x14ac:dyDescent="0.25">
      <c r="C111" s="76">
        <v>45754</v>
      </c>
      <c r="D111" s="30">
        <v>1</v>
      </c>
    </row>
    <row r="112" spans="3:4" x14ac:dyDescent="0.25">
      <c r="C112" s="77" t="s">
        <v>184</v>
      </c>
      <c r="D112" s="30">
        <v>1</v>
      </c>
    </row>
    <row r="113" spans="3:4" x14ac:dyDescent="0.25">
      <c r="C113" s="76">
        <v>45755</v>
      </c>
      <c r="D113" s="30">
        <v>1</v>
      </c>
    </row>
    <row r="114" spans="3:4" x14ac:dyDescent="0.25">
      <c r="C114" s="77" t="s">
        <v>470</v>
      </c>
      <c r="D114" s="30">
        <v>1</v>
      </c>
    </row>
    <row r="115" spans="3:4" x14ac:dyDescent="0.25">
      <c r="C115" s="76">
        <v>45756</v>
      </c>
      <c r="D115" s="30">
        <v>1</v>
      </c>
    </row>
    <row r="116" spans="3:4" x14ac:dyDescent="0.25">
      <c r="C116" s="77" t="s">
        <v>188</v>
      </c>
      <c r="D116" s="30">
        <v>1</v>
      </c>
    </row>
    <row r="117" spans="3:4" x14ac:dyDescent="0.25">
      <c r="C117" s="76">
        <v>45758</v>
      </c>
      <c r="D117" s="30">
        <v>1</v>
      </c>
    </row>
    <row r="118" spans="3:4" x14ac:dyDescent="0.25">
      <c r="C118" s="77" t="s">
        <v>185</v>
      </c>
      <c r="D118" s="30">
        <v>1</v>
      </c>
    </row>
    <row r="119" spans="3:4" x14ac:dyDescent="0.25">
      <c r="C119" s="76">
        <v>45769</v>
      </c>
      <c r="D119" s="30">
        <v>1</v>
      </c>
    </row>
    <row r="120" spans="3:4" x14ac:dyDescent="0.25">
      <c r="C120" s="77" t="s">
        <v>186</v>
      </c>
      <c r="D120" s="30">
        <v>1</v>
      </c>
    </row>
    <row r="121" spans="3:4" x14ac:dyDescent="0.25">
      <c r="C121" s="76">
        <v>45772</v>
      </c>
      <c r="D121" s="30">
        <v>1</v>
      </c>
    </row>
    <row r="122" spans="3:4" x14ac:dyDescent="0.25">
      <c r="C122" s="77" t="s">
        <v>469</v>
      </c>
      <c r="D122" s="30">
        <v>1</v>
      </c>
    </row>
    <row r="123" spans="3:4" x14ac:dyDescent="0.25">
      <c r="C123" s="73" t="s">
        <v>198</v>
      </c>
      <c r="D123" s="30">
        <v>13</v>
      </c>
    </row>
    <row r="124" spans="3:4" x14ac:dyDescent="0.25">
      <c r="C124" s="46" t="s">
        <v>521</v>
      </c>
      <c r="D124" s="30">
        <v>13</v>
      </c>
    </row>
    <row r="125" spans="3:4" x14ac:dyDescent="0.25">
      <c r="C125" s="59" t="s">
        <v>147</v>
      </c>
      <c r="D125" s="30">
        <v>13</v>
      </c>
    </row>
    <row r="126" spans="3:4" x14ac:dyDescent="0.25">
      <c r="C126" s="76">
        <v>45748</v>
      </c>
      <c r="D126" s="30">
        <v>1</v>
      </c>
    </row>
    <row r="127" spans="3:4" x14ac:dyDescent="0.25">
      <c r="C127" s="77" t="s">
        <v>407</v>
      </c>
      <c r="D127" s="30">
        <v>1</v>
      </c>
    </row>
    <row r="128" spans="3:4" x14ac:dyDescent="0.25">
      <c r="C128" s="76">
        <v>45749</v>
      </c>
      <c r="D128" s="30">
        <v>1</v>
      </c>
    </row>
    <row r="129" spans="3:4" x14ac:dyDescent="0.25">
      <c r="C129" s="77" t="s">
        <v>235</v>
      </c>
      <c r="D129" s="30">
        <v>1</v>
      </c>
    </row>
    <row r="130" spans="3:4" x14ac:dyDescent="0.25">
      <c r="C130" s="76">
        <v>45750</v>
      </c>
      <c r="D130" s="30">
        <v>2</v>
      </c>
    </row>
    <row r="131" spans="3:4" x14ac:dyDescent="0.25">
      <c r="C131" s="77" t="s">
        <v>256</v>
      </c>
      <c r="D131" s="30">
        <v>1</v>
      </c>
    </row>
    <row r="132" spans="3:4" x14ac:dyDescent="0.25">
      <c r="C132" s="77" t="s">
        <v>262</v>
      </c>
      <c r="D132" s="30">
        <v>1</v>
      </c>
    </row>
    <row r="133" spans="3:4" x14ac:dyDescent="0.25">
      <c r="C133" s="76">
        <v>45754</v>
      </c>
      <c r="D133" s="30">
        <v>1</v>
      </c>
    </row>
    <row r="134" spans="3:4" x14ac:dyDescent="0.25">
      <c r="C134" s="77" t="s">
        <v>266</v>
      </c>
      <c r="D134" s="30">
        <v>1</v>
      </c>
    </row>
    <row r="135" spans="3:4" x14ac:dyDescent="0.25">
      <c r="C135" s="76">
        <v>45758</v>
      </c>
      <c r="D135" s="30">
        <v>1</v>
      </c>
    </row>
    <row r="136" spans="3:4" x14ac:dyDescent="0.25">
      <c r="C136" s="77" t="s">
        <v>478</v>
      </c>
      <c r="D136" s="30">
        <v>1</v>
      </c>
    </row>
    <row r="137" spans="3:4" x14ac:dyDescent="0.25">
      <c r="C137" s="76">
        <v>45761</v>
      </c>
      <c r="D137" s="30">
        <v>1</v>
      </c>
    </row>
    <row r="138" spans="3:4" x14ac:dyDescent="0.25">
      <c r="C138" s="77" t="s">
        <v>227</v>
      </c>
      <c r="D138" s="30">
        <v>1</v>
      </c>
    </row>
    <row r="139" spans="3:4" x14ac:dyDescent="0.25">
      <c r="C139" s="76">
        <v>45769</v>
      </c>
      <c r="D139" s="30">
        <v>1</v>
      </c>
    </row>
    <row r="140" spans="3:4" x14ac:dyDescent="0.25">
      <c r="C140" s="77" t="s">
        <v>472</v>
      </c>
      <c r="D140" s="30">
        <v>1</v>
      </c>
    </row>
    <row r="141" spans="3:4" x14ac:dyDescent="0.25">
      <c r="C141" s="76">
        <v>45771</v>
      </c>
      <c r="D141" s="30">
        <v>1</v>
      </c>
    </row>
    <row r="142" spans="3:4" x14ac:dyDescent="0.25">
      <c r="C142" s="77" t="s">
        <v>435</v>
      </c>
      <c r="D142" s="30">
        <v>1</v>
      </c>
    </row>
    <row r="143" spans="3:4" x14ac:dyDescent="0.25">
      <c r="C143" s="76">
        <v>45772</v>
      </c>
      <c r="D143" s="30">
        <v>1</v>
      </c>
    </row>
    <row r="144" spans="3:4" x14ac:dyDescent="0.25">
      <c r="C144" s="77" t="s">
        <v>300</v>
      </c>
      <c r="D144" s="30">
        <v>1</v>
      </c>
    </row>
    <row r="145" spans="3:4" x14ac:dyDescent="0.25">
      <c r="C145" s="76">
        <v>45775</v>
      </c>
      <c r="D145" s="30">
        <v>1</v>
      </c>
    </row>
    <row r="146" spans="3:4" x14ac:dyDescent="0.25">
      <c r="C146" s="77" t="s">
        <v>299</v>
      </c>
      <c r="D146" s="30">
        <v>1</v>
      </c>
    </row>
    <row r="147" spans="3:4" x14ac:dyDescent="0.25">
      <c r="C147" s="76">
        <v>45777</v>
      </c>
      <c r="D147" s="30">
        <v>2</v>
      </c>
    </row>
    <row r="148" spans="3:4" x14ac:dyDescent="0.25">
      <c r="C148" s="77" t="s">
        <v>199</v>
      </c>
      <c r="D148" s="30">
        <v>1</v>
      </c>
    </row>
    <row r="149" spans="3:4" x14ac:dyDescent="0.25">
      <c r="C149" s="77" t="s">
        <v>240</v>
      </c>
      <c r="D149" s="30">
        <v>1</v>
      </c>
    </row>
    <row r="150" spans="3:4" x14ac:dyDescent="0.25">
      <c r="C150" s="73" t="s">
        <v>210</v>
      </c>
      <c r="D150" s="30">
        <v>7</v>
      </c>
    </row>
    <row r="151" spans="3:4" x14ac:dyDescent="0.25">
      <c r="C151" s="46" t="s">
        <v>521</v>
      </c>
      <c r="D151" s="30">
        <v>7</v>
      </c>
    </row>
    <row r="152" spans="3:4" x14ac:dyDescent="0.25">
      <c r="C152" s="59" t="s">
        <v>147</v>
      </c>
      <c r="D152" s="30">
        <v>7</v>
      </c>
    </row>
    <row r="153" spans="3:4" x14ac:dyDescent="0.25">
      <c r="C153" s="76">
        <v>45748</v>
      </c>
      <c r="D153" s="30">
        <v>2</v>
      </c>
    </row>
    <row r="154" spans="3:4" x14ac:dyDescent="0.25">
      <c r="C154" s="77" t="s">
        <v>311</v>
      </c>
      <c r="D154" s="30">
        <v>1</v>
      </c>
    </row>
    <row r="155" spans="3:4" x14ac:dyDescent="0.25">
      <c r="C155" s="77" t="s">
        <v>312</v>
      </c>
      <c r="D155" s="30">
        <v>1</v>
      </c>
    </row>
    <row r="156" spans="3:4" x14ac:dyDescent="0.25">
      <c r="C156" s="76">
        <v>45756</v>
      </c>
      <c r="D156" s="30">
        <v>1</v>
      </c>
    </row>
    <row r="157" spans="3:4" x14ac:dyDescent="0.25">
      <c r="C157" s="77" t="s">
        <v>415</v>
      </c>
      <c r="D157" s="30">
        <v>1</v>
      </c>
    </row>
    <row r="158" spans="3:4" x14ac:dyDescent="0.25">
      <c r="C158" s="76">
        <v>45758</v>
      </c>
      <c r="D158" s="30">
        <v>2</v>
      </c>
    </row>
    <row r="159" spans="3:4" x14ac:dyDescent="0.25">
      <c r="C159" s="77" t="s">
        <v>337</v>
      </c>
      <c r="D159" s="30">
        <v>1</v>
      </c>
    </row>
    <row r="160" spans="3:4" x14ac:dyDescent="0.25">
      <c r="C160" s="77" t="s">
        <v>498</v>
      </c>
      <c r="D160" s="30">
        <v>1</v>
      </c>
    </row>
    <row r="161" spans="3:4" x14ac:dyDescent="0.25">
      <c r="C161" s="76">
        <v>45763</v>
      </c>
      <c r="D161" s="30">
        <v>1</v>
      </c>
    </row>
    <row r="162" spans="3:4" x14ac:dyDescent="0.25">
      <c r="C162" s="77" t="s">
        <v>212</v>
      </c>
      <c r="D162" s="30">
        <v>1</v>
      </c>
    </row>
    <row r="163" spans="3:4" x14ac:dyDescent="0.25">
      <c r="C163" s="76">
        <v>45772</v>
      </c>
      <c r="D163" s="30">
        <v>1</v>
      </c>
    </row>
    <row r="164" spans="3:4" x14ac:dyDescent="0.25">
      <c r="C164" s="77" t="s">
        <v>474</v>
      </c>
      <c r="D164" s="30">
        <v>1</v>
      </c>
    </row>
    <row r="165" spans="3:4" x14ac:dyDescent="0.25">
      <c r="C165" s="73" t="s">
        <v>217</v>
      </c>
      <c r="D165" s="30">
        <v>6</v>
      </c>
    </row>
    <row r="166" spans="3:4" x14ac:dyDescent="0.25">
      <c r="C166" s="46" t="s">
        <v>521</v>
      </c>
      <c r="D166" s="30">
        <v>6</v>
      </c>
    </row>
    <row r="167" spans="3:4" x14ac:dyDescent="0.25">
      <c r="C167" s="59" t="s">
        <v>147</v>
      </c>
      <c r="D167" s="30">
        <v>6</v>
      </c>
    </row>
    <row r="168" spans="3:4" x14ac:dyDescent="0.25">
      <c r="C168" s="76">
        <v>45750</v>
      </c>
      <c r="D168" s="30">
        <v>2</v>
      </c>
    </row>
    <row r="169" spans="3:4" x14ac:dyDescent="0.25">
      <c r="C169" s="77" t="s">
        <v>244</v>
      </c>
      <c r="D169" s="30">
        <v>1</v>
      </c>
    </row>
    <row r="170" spans="3:4" x14ac:dyDescent="0.25">
      <c r="C170" s="77" t="s">
        <v>286</v>
      </c>
      <c r="D170" s="30">
        <v>1</v>
      </c>
    </row>
    <row r="171" spans="3:4" x14ac:dyDescent="0.25">
      <c r="C171" s="76">
        <v>45751</v>
      </c>
      <c r="D171" s="30">
        <v>1</v>
      </c>
    </row>
    <row r="172" spans="3:4" x14ac:dyDescent="0.25">
      <c r="C172" s="77" t="s">
        <v>218</v>
      </c>
      <c r="D172" s="30">
        <v>1</v>
      </c>
    </row>
    <row r="173" spans="3:4" x14ac:dyDescent="0.25">
      <c r="C173" s="76">
        <v>45761</v>
      </c>
      <c r="D173" s="30">
        <v>1</v>
      </c>
    </row>
    <row r="174" spans="3:4" x14ac:dyDescent="0.25">
      <c r="C174" s="77" t="s">
        <v>222</v>
      </c>
      <c r="D174" s="30">
        <v>1</v>
      </c>
    </row>
    <row r="175" spans="3:4" x14ac:dyDescent="0.25">
      <c r="C175" s="76">
        <v>45771</v>
      </c>
      <c r="D175" s="30">
        <v>1</v>
      </c>
    </row>
    <row r="176" spans="3:4" x14ac:dyDescent="0.25">
      <c r="C176" s="77" t="s">
        <v>243</v>
      </c>
      <c r="D176" s="30">
        <v>1</v>
      </c>
    </row>
    <row r="177" spans="3:4" x14ac:dyDescent="0.25">
      <c r="C177" s="76">
        <v>45777</v>
      </c>
      <c r="D177" s="30">
        <v>1</v>
      </c>
    </row>
    <row r="178" spans="3:4" x14ac:dyDescent="0.25">
      <c r="C178" s="77" t="s">
        <v>473</v>
      </c>
      <c r="D178" s="30">
        <v>1</v>
      </c>
    </row>
    <row r="179" spans="3:4" x14ac:dyDescent="0.25">
      <c r="C179" s="73" t="s">
        <v>220</v>
      </c>
      <c r="D179" s="30">
        <v>7</v>
      </c>
    </row>
    <row r="180" spans="3:4" x14ac:dyDescent="0.25">
      <c r="C180" s="46" t="s">
        <v>521</v>
      </c>
      <c r="D180" s="30">
        <v>7</v>
      </c>
    </row>
    <row r="181" spans="3:4" x14ac:dyDescent="0.25">
      <c r="C181" s="59" t="s">
        <v>147</v>
      </c>
      <c r="D181" s="30">
        <v>7</v>
      </c>
    </row>
    <row r="182" spans="3:4" x14ac:dyDescent="0.25">
      <c r="C182" s="76">
        <v>45751</v>
      </c>
      <c r="D182" s="30">
        <v>1</v>
      </c>
    </row>
    <row r="183" spans="3:4" x14ac:dyDescent="0.25">
      <c r="C183" s="77" t="s">
        <v>484</v>
      </c>
      <c r="D183" s="30">
        <v>1</v>
      </c>
    </row>
    <row r="184" spans="3:4" x14ac:dyDescent="0.25">
      <c r="C184" s="76">
        <v>45758</v>
      </c>
      <c r="D184" s="30">
        <v>1</v>
      </c>
    </row>
    <row r="185" spans="3:4" x14ac:dyDescent="0.25">
      <c r="C185" s="77" t="s">
        <v>221</v>
      </c>
      <c r="D185" s="30">
        <v>1</v>
      </c>
    </row>
    <row r="186" spans="3:4" x14ac:dyDescent="0.25">
      <c r="C186" s="76">
        <v>45761</v>
      </c>
      <c r="D186" s="30">
        <v>2</v>
      </c>
    </row>
    <row r="187" spans="3:4" x14ac:dyDescent="0.25">
      <c r="C187" s="77" t="s">
        <v>319</v>
      </c>
      <c r="D187" s="30">
        <v>1</v>
      </c>
    </row>
    <row r="188" spans="3:4" x14ac:dyDescent="0.25">
      <c r="C188" s="77" t="s">
        <v>416</v>
      </c>
      <c r="D188" s="30">
        <v>1</v>
      </c>
    </row>
    <row r="189" spans="3:4" x14ac:dyDescent="0.25">
      <c r="C189" s="76">
        <v>45762</v>
      </c>
      <c r="D189" s="30">
        <v>1</v>
      </c>
    </row>
    <row r="190" spans="3:4" x14ac:dyDescent="0.25">
      <c r="C190" s="77" t="s">
        <v>229</v>
      </c>
      <c r="D190" s="30">
        <v>1</v>
      </c>
    </row>
    <row r="191" spans="3:4" x14ac:dyDescent="0.25">
      <c r="C191" s="76">
        <v>45770</v>
      </c>
      <c r="D191" s="30">
        <v>1</v>
      </c>
    </row>
    <row r="192" spans="3:4" x14ac:dyDescent="0.25">
      <c r="C192" s="77" t="s">
        <v>238</v>
      </c>
      <c r="D192" s="30">
        <v>1</v>
      </c>
    </row>
    <row r="193" spans="3:4" x14ac:dyDescent="0.25">
      <c r="C193" s="76">
        <v>45776</v>
      </c>
      <c r="D193" s="30">
        <v>1</v>
      </c>
    </row>
    <row r="194" spans="3:4" x14ac:dyDescent="0.25">
      <c r="C194" s="77" t="s">
        <v>313</v>
      </c>
      <c r="D194" s="30">
        <v>1</v>
      </c>
    </row>
    <row r="195" spans="3:4" x14ac:dyDescent="0.25">
      <c r="C195" s="73" t="s">
        <v>233</v>
      </c>
      <c r="D195" s="30">
        <v>8</v>
      </c>
    </row>
    <row r="196" spans="3:4" x14ac:dyDescent="0.25">
      <c r="C196" s="46" t="s">
        <v>521</v>
      </c>
      <c r="D196" s="30">
        <v>8</v>
      </c>
    </row>
    <row r="197" spans="3:4" x14ac:dyDescent="0.25">
      <c r="C197" s="59" t="s">
        <v>147</v>
      </c>
      <c r="D197" s="30">
        <v>8</v>
      </c>
    </row>
    <row r="198" spans="3:4" x14ac:dyDescent="0.25">
      <c r="C198" s="76">
        <v>45750</v>
      </c>
      <c r="D198" s="30">
        <v>1</v>
      </c>
    </row>
    <row r="199" spans="3:4" x14ac:dyDescent="0.25">
      <c r="C199" s="77" t="s">
        <v>412</v>
      </c>
      <c r="D199" s="30">
        <v>1</v>
      </c>
    </row>
    <row r="200" spans="3:4" x14ac:dyDescent="0.25">
      <c r="C200" s="76">
        <v>45756</v>
      </c>
      <c r="D200" s="30">
        <v>2</v>
      </c>
    </row>
    <row r="201" spans="3:4" x14ac:dyDescent="0.25">
      <c r="C201" s="77" t="s">
        <v>267</v>
      </c>
      <c r="D201" s="30">
        <v>1</v>
      </c>
    </row>
    <row r="202" spans="3:4" x14ac:dyDescent="0.25">
      <c r="C202" s="77" t="s">
        <v>349</v>
      </c>
      <c r="D202" s="30">
        <v>1</v>
      </c>
    </row>
    <row r="203" spans="3:4" x14ac:dyDescent="0.25">
      <c r="C203" s="76">
        <v>45764</v>
      </c>
      <c r="D203" s="30">
        <v>2</v>
      </c>
    </row>
    <row r="204" spans="3:4" x14ac:dyDescent="0.25">
      <c r="C204" s="77" t="s">
        <v>234</v>
      </c>
      <c r="D204" s="30">
        <v>1</v>
      </c>
    </row>
    <row r="205" spans="3:4" x14ac:dyDescent="0.25">
      <c r="C205" s="77" t="s">
        <v>277</v>
      </c>
      <c r="D205" s="30">
        <v>1</v>
      </c>
    </row>
    <row r="206" spans="3:4" x14ac:dyDescent="0.25">
      <c r="C206" s="76">
        <v>45772</v>
      </c>
      <c r="D206" s="30">
        <v>1</v>
      </c>
    </row>
    <row r="207" spans="3:4" x14ac:dyDescent="0.25">
      <c r="C207" s="77" t="s">
        <v>304</v>
      </c>
      <c r="D207" s="30">
        <v>1</v>
      </c>
    </row>
    <row r="208" spans="3:4" x14ac:dyDescent="0.25">
      <c r="C208" s="76">
        <v>45776</v>
      </c>
      <c r="D208" s="30">
        <v>1</v>
      </c>
    </row>
    <row r="209" spans="3:4" x14ac:dyDescent="0.25">
      <c r="C209" s="77" t="s">
        <v>239</v>
      </c>
      <c r="D209" s="30">
        <v>1</v>
      </c>
    </row>
    <row r="210" spans="3:4" x14ac:dyDescent="0.25">
      <c r="C210" s="76">
        <v>45777</v>
      </c>
      <c r="D210" s="30">
        <v>1</v>
      </c>
    </row>
    <row r="211" spans="3:4" x14ac:dyDescent="0.25">
      <c r="C211" s="77" t="s">
        <v>250</v>
      </c>
      <c r="D211" s="30">
        <v>1</v>
      </c>
    </row>
    <row r="212" spans="3:4" x14ac:dyDescent="0.25">
      <c r="C212" s="73" t="s">
        <v>253</v>
      </c>
      <c r="D212" s="30">
        <v>7</v>
      </c>
    </row>
    <row r="213" spans="3:4" x14ac:dyDescent="0.25">
      <c r="C213" s="46" t="s">
        <v>521</v>
      </c>
      <c r="D213" s="30">
        <v>7</v>
      </c>
    </row>
    <row r="214" spans="3:4" x14ac:dyDescent="0.25">
      <c r="C214" s="59" t="s">
        <v>147</v>
      </c>
      <c r="D214" s="30">
        <v>7</v>
      </c>
    </row>
    <row r="215" spans="3:4" x14ac:dyDescent="0.25">
      <c r="C215" s="76">
        <v>45748</v>
      </c>
      <c r="D215" s="30">
        <v>1</v>
      </c>
    </row>
    <row r="216" spans="3:4" x14ac:dyDescent="0.25">
      <c r="C216" s="77" t="s">
        <v>476</v>
      </c>
      <c r="D216" s="30">
        <v>1</v>
      </c>
    </row>
    <row r="217" spans="3:4" x14ac:dyDescent="0.25">
      <c r="C217" s="76">
        <v>45751</v>
      </c>
      <c r="D217" s="30">
        <v>2</v>
      </c>
    </row>
    <row r="218" spans="3:4" x14ac:dyDescent="0.25">
      <c r="C218" s="77" t="s">
        <v>259</v>
      </c>
      <c r="D218" s="30">
        <v>1</v>
      </c>
    </row>
    <row r="219" spans="3:4" x14ac:dyDescent="0.25">
      <c r="C219" s="77" t="s">
        <v>283</v>
      </c>
      <c r="D219" s="30">
        <v>1</v>
      </c>
    </row>
    <row r="220" spans="3:4" x14ac:dyDescent="0.25">
      <c r="C220" s="76">
        <v>45754</v>
      </c>
      <c r="D220" s="30">
        <v>2</v>
      </c>
    </row>
    <row r="221" spans="3:4" x14ac:dyDescent="0.25">
      <c r="C221" s="77" t="s">
        <v>386</v>
      </c>
      <c r="D221" s="30">
        <v>1</v>
      </c>
    </row>
    <row r="222" spans="3:4" x14ac:dyDescent="0.25">
      <c r="C222" s="77" t="s">
        <v>387</v>
      </c>
      <c r="D222" s="30">
        <v>1</v>
      </c>
    </row>
    <row r="223" spans="3:4" x14ac:dyDescent="0.25">
      <c r="C223" s="76">
        <v>45775</v>
      </c>
      <c r="D223" s="30">
        <v>1</v>
      </c>
    </row>
    <row r="224" spans="3:4" x14ac:dyDescent="0.25">
      <c r="C224" s="77" t="s">
        <v>343</v>
      </c>
      <c r="D224" s="30">
        <v>1</v>
      </c>
    </row>
    <row r="225" spans="3:4" x14ac:dyDescent="0.25">
      <c r="C225" s="76">
        <v>45777</v>
      </c>
      <c r="D225" s="30">
        <v>1</v>
      </c>
    </row>
    <row r="226" spans="3:4" x14ac:dyDescent="0.25">
      <c r="C226" s="77" t="s">
        <v>254</v>
      </c>
      <c r="D226" s="30">
        <v>1</v>
      </c>
    </row>
    <row r="227" spans="3:4" x14ac:dyDescent="0.25">
      <c r="C227" s="73" t="s">
        <v>263</v>
      </c>
      <c r="D227" s="30">
        <v>7</v>
      </c>
    </row>
    <row r="228" spans="3:4" x14ac:dyDescent="0.25">
      <c r="C228" s="46" t="s">
        <v>521</v>
      </c>
      <c r="D228" s="30">
        <v>7</v>
      </c>
    </row>
    <row r="229" spans="3:4" x14ac:dyDescent="0.25">
      <c r="C229" s="59" t="s">
        <v>147</v>
      </c>
      <c r="D229" s="30">
        <v>7</v>
      </c>
    </row>
    <row r="230" spans="3:4" x14ac:dyDescent="0.25">
      <c r="C230" s="76">
        <v>45748</v>
      </c>
      <c r="D230" s="30">
        <v>1</v>
      </c>
    </row>
    <row r="231" spans="3:4" x14ac:dyDescent="0.25">
      <c r="C231" s="77" t="s">
        <v>305</v>
      </c>
      <c r="D231" s="30">
        <v>1</v>
      </c>
    </row>
    <row r="232" spans="3:4" x14ac:dyDescent="0.25">
      <c r="C232" s="76">
        <v>45749</v>
      </c>
      <c r="D232" s="30">
        <v>2</v>
      </c>
    </row>
    <row r="233" spans="3:4" x14ac:dyDescent="0.25">
      <c r="C233" s="77" t="s">
        <v>306</v>
      </c>
      <c r="D233" s="30">
        <v>1</v>
      </c>
    </row>
    <row r="234" spans="3:4" x14ac:dyDescent="0.25">
      <c r="C234" s="77" t="s">
        <v>453</v>
      </c>
      <c r="D234" s="30">
        <v>1</v>
      </c>
    </row>
    <row r="235" spans="3:4" x14ac:dyDescent="0.25">
      <c r="C235" s="76">
        <v>45750</v>
      </c>
      <c r="D235" s="30">
        <v>1</v>
      </c>
    </row>
    <row r="236" spans="3:4" x14ac:dyDescent="0.25">
      <c r="C236" s="77" t="s">
        <v>443</v>
      </c>
      <c r="D236" s="30">
        <v>1</v>
      </c>
    </row>
    <row r="237" spans="3:4" x14ac:dyDescent="0.25">
      <c r="C237" s="76">
        <v>45754</v>
      </c>
      <c r="D237" s="30">
        <v>1</v>
      </c>
    </row>
    <row r="238" spans="3:4" x14ac:dyDescent="0.25">
      <c r="C238" s="77" t="s">
        <v>264</v>
      </c>
      <c r="D238" s="30">
        <v>1</v>
      </c>
    </row>
    <row r="239" spans="3:4" x14ac:dyDescent="0.25">
      <c r="C239" s="76">
        <v>45756</v>
      </c>
      <c r="D239" s="30">
        <v>1</v>
      </c>
    </row>
    <row r="240" spans="3:4" x14ac:dyDescent="0.25">
      <c r="C240" s="77" t="s">
        <v>433</v>
      </c>
      <c r="D240" s="30">
        <v>1</v>
      </c>
    </row>
    <row r="241" spans="3:4" x14ac:dyDescent="0.25">
      <c r="C241" s="76">
        <v>45764</v>
      </c>
      <c r="D241" s="30">
        <v>1</v>
      </c>
    </row>
    <row r="242" spans="3:4" x14ac:dyDescent="0.25">
      <c r="C242" s="77" t="s">
        <v>342</v>
      </c>
      <c r="D242" s="30">
        <v>1</v>
      </c>
    </row>
    <row r="243" spans="3:4" x14ac:dyDescent="0.25">
      <c r="C243" s="73" t="s">
        <v>273</v>
      </c>
      <c r="D243" s="30">
        <v>6</v>
      </c>
    </row>
    <row r="244" spans="3:4" x14ac:dyDescent="0.25">
      <c r="C244" s="46" t="s">
        <v>521</v>
      </c>
      <c r="D244" s="30">
        <v>6</v>
      </c>
    </row>
    <row r="245" spans="3:4" x14ac:dyDescent="0.25">
      <c r="C245" s="59" t="s">
        <v>147</v>
      </c>
      <c r="D245" s="30">
        <v>6</v>
      </c>
    </row>
    <row r="246" spans="3:4" x14ac:dyDescent="0.25">
      <c r="C246" s="76">
        <v>45749</v>
      </c>
      <c r="D246" s="30">
        <v>1</v>
      </c>
    </row>
    <row r="247" spans="3:4" x14ac:dyDescent="0.25">
      <c r="C247" s="77" t="s">
        <v>278</v>
      </c>
      <c r="D247" s="30">
        <v>1</v>
      </c>
    </row>
    <row r="248" spans="3:4" x14ac:dyDescent="0.25">
      <c r="C248" s="76">
        <v>45751</v>
      </c>
      <c r="D248" s="30">
        <v>1</v>
      </c>
    </row>
    <row r="249" spans="3:4" x14ac:dyDescent="0.25">
      <c r="C249" s="77" t="s">
        <v>483</v>
      </c>
      <c r="D249" s="30">
        <v>1</v>
      </c>
    </row>
    <row r="250" spans="3:4" x14ac:dyDescent="0.25">
      <c r="C250" s="76">
        <v>45756</v>
      </c>
      <c r="D250" s="30">
        <v>1</v>
      </c>
    </row>
    <row r="251" spans="3:4" x14ac:dyDescent="0.25">
      <c r="C251" s="77" t="s">
        <v>482</v>
      </c>
      <c r="D251" s="30">
        <v>1</v>
      </c>
    </row>
    <row r="252" spans="3:4" x14ac:dyDescent="0.25">
      <c r="C252" s="76">
        <v>45764</v>
      </c>
      <c r="D252" s="30">
        <v>1</v>
      </c>
    </row>
    <row r="253" spans="3:4" x14ac:dyDescent="0.25">
      <c r="C253" s="77" t="s">
        <v>275</v>
      </c>
      <c r="D253" s="30">
        <v>1</v>
      </c>
    </row>
    <row r="254" spans="3:4" x14ac:dyDescent="0.25">
      <c r="C254" s="76">
        <v>45770</v>
      </c>
      <c r="D254" s="30">
        <v>1</v>
      </c>
    </row>
    <row r="255" spans="3:4" x14ac:dyDescent="0.25">
      <c r="C255" s="77" t="s">
        <v>276</v>
      </c>
      <c r="D255" s="30">
        <v>1</v>
      </c>
    </row>
    <row r="256" spans="3:4" x14ac:dyDescent="0.25">
      <c r="C256" s="76">
        <v>45771</v>
      </c>
      <c r="D256" s="30">
        <v>1</v>
      </c>
    </row>
    <row r="257" spans="3:4" x14ac:dyDescent="0.25">
      <c r="C257" s="77" t="s">
        <v>512</v>
      </c>
      <c r="D257" s="30">
        <v>1</v>
      </c>
    </row>
    <row r="258" spans="3:4" x14ac:dyDescent="0.25">
      <c r="C258" s="73" t="s">
        <v>279</v>
      </c>
      <c r="D258" s="30">
        <v>6</v>
      </c>
    </row>
    <row r="259" spans="3:4" x14ac:dyDescent="0.25">
      <c r="C259" s="46" t="s">
        <v>521</v>
      </c>
      <c r="D259" s="30">
        <v>6</v>
      </c>
    </row>
    <row r="260" spans="3:4" x14ac:dyDescent="0.25">
      <c r="C260" s="59" t="s">
        <v>147</v>
      </c>
      <c r="D260" s="30">
        <v>6</v>
      </c>
    </row>
    <row r="261" spans="3:4" x14ac:dyDescent="0.25">
      <c r="C261" s="76">
        <v>45749</v>
      </c>
      <c r="D261" s="30">
        <v>1</v>
      </c>
    </row>
    <row r="262" spans="3:4" x14ac:dyDescent="0.25">
      <c r="C262" s="77" t="s">
        <v>393</v>
      </c>
      <c r="D262" s="30">
        <v>1</v>
      </c>
    </row>
    <row r="263" spans="3:4" x14ac:dyDescent="0.25">
      <c r="C263" s="76">
        <v>45750</v>
      </c>
      <c r="D263" s="30">
        <v>1</v>
      </c>
    </row>
    <row r="264" spans="3:4" x14ac:dyDescent="0.25">
      <c r="C264" s="77" t="s">
        <v>392</v>
      </c>
      <c r="D264" s="30">
        <v>1</v>
      </c>
    </row>
    <row r="265" spans="3:4" x14ac:dyDescent="0.25">
      <c r="C265" s="76">
        <v>45754</v>
      </c>
      <c r="D265" s="30">
        <v>1</v>
      </c>
    </row>
    <row r="266" spans="3:4" x14ac:dyDescent="0.25">
      <c r="C266" s="77" t="s">
        <v>281</v>
      </c>
      <c r="D266" s="30">
        <v>1</v>
      </c>
    </row>
    <row r="267" spans="3:4" x14ac:dyDescent="0.25">
      <c r="C267" s="76">
        <v>45757</v>
      </c>
      <c r="D267" s="30">
        <v>2</v>
      </c>
    </row>
    <row r="268" spans="3:4" x14ac:dyDescent="0.25">
      <c r="C268" s="77" t="s">
        <v>280</v>
      </c>
      <c r="D268" s="30">
        <v>1</v>
      </c>
    </row>
    <row r="269" spans="3:4" x14ac:dyDescent="0.25">
      <c r="C269" s="77" t="s">
        <v>282</v>
      </c>
      <c r="D269" s="30">
        <v>1</v>
      </c>
    </row>
    <row r="270" spans="3:4" x14ac:dyDescent="0.25">
      <c r="C270" s="76">
        <v>45775</v>
      </c>
      <c r="D270" s="30">
        <v>1</v>
      </c>
    </row>
    <row r="271" spans="3:4" x14ac:dyDescent="0.25">
      <c r="C271" s="77" t="s">
        <v>394</v>
      </c>
      <c r="D271" s="30">
        <v>1</v>
      </c>
    </row>
    <row r="272" spans="3:4" x14ac:dyDescent="0.25">
      <c r="C272" s="73" t="s">
        <v>297</v>
      </c>
      <c r="D272" s="30">
        <v>2</v>
      </c>
    </row>
    <row r="273" spans="3:4" x14ac:dyDescent="0.25">
      <c r="C273" s="46" t="s">
        <v>521</v>
      </c>
      <c r="D273" s="30">
        <v>2</v>
      </c>
    </row>
    <row r="274" spans="3:4" x14ac:dyDescent="0.25">
      <c r="C274" s="59" t="s">
        <v>147</v>
      </c>
      <c r="D274" s="30">
        <v>2</v>
      </c>
    </row>
    <row r="275" spans="3:4" x14ac:dyDescent="0.25">
      <c r="C275" s="76">
        <v>45748</v>
      </c>
      <c r="D275" s="30">
        <v>1</v>
      </c>
    </row>
    <row r="276" spans="3:4" x14ac:dyDescent="0.25">
      <c r="C276" s="77" t="s">
        <v>298</v>
      </c>
      <c r="D276" s="30">
        <v>1</v>
      </c>
    </row>
    <row r="277" spans="3:4" x14ac:dyDescent="0.25">
      <c r="C277" s="76">
        <v>45775</v>
      </c>
      <c r="D277" s="30">
        <v>1</v>
      </c>
    </row>
    <row r="278" spans="3:4" x14ac:dyDescent="0.25">
      <c r="C278" s="77" t="s">
        <v>381</v>
      </c>
      <c r="D278" s="30">
        <v>1</v>
      </c>
    </row>
    <row r="279" spans="3:4" x14ac:dyDescent="0.25">
      <c r="C279" s="73" t="s">
        <v>301</v>
      </c>
      <c r="D279" s="30">
        <v>2</v>
      </c>
    </row>
    <row r="280" spans="3:4" x14ac:dyDescent="0.25">
      <c r="C280" s="46" t="s">
        <v>521</v>
      </c>
      <c r="D280" s="30">
        <v>2</v>
      </c>
    </row>
    <row r="281" spans="3:4" x14ac:dyDescent="0.25">
      <c r="C281" s="59" t="s">
        <v>147</v>
      </c>
      <c r="D281" s="30">
        <v>2</v>
      </c>
    </row>
    <row r="282" spans="3:4" x14ac:dyDescent="0.25">
      <c r="C282" s="76">
        <v>45776</v>
      </c>
      <c r="D282" s="30">
        <v>2</v>
      </c>
    </row>
    <row r="283" spans="3:4" x14ac:dyDescent="0.25">
      <c r="C283" s="77" t="s">
        <v>302</v>
      </c>
      <c r="D283" s="30">
        <v>1</v>
      </c>
    </row>
    <row r="284" spans="3:4" x14ac:dyDescent="0.25">
      <c r="C284" s="77" t="s">
        <v>383</v>
      </c>
      <c r="D284" s="30">
        <v>1</v>
      </c>
    </row>
    <row r="285" spans="3:4" x14ac:dyDescent="0.25">
      <c r="C285" s="73" t="s">
        <v>314</v>
      </c>
      <c r="D285" s="30">
        <v>9</v>
      </c>
    </row>
    <row r="286" spans="3:4" x14ac:dyDescent="0.25">
      <c r="C286" s="46" t="s">
        <v>521</v>
      </c>
      <c r="D286" s="30">
        <v>9</v>
      </c>
    </row>
    <row r="287" spans="3:4" x14ac:dyDescent="0.25">
      <c r="C287" s="59" t="s">
        <v>147</v>
      </c>
      <c r="D287" s="30">
        <v>9</v>
      </c>
    </row>
    <row r="288" spans="3:4" x14ac:dyDescent="0.25">
      <c r="C288" s="76">
        <v>45749</v>
      </c>
      <c r="D288" s="30">
        <v>1</v>
      </c>
    </row>
    <row r="289" spans="3:4" x14ac:dyDescent="0.25">
      <c r="C289" s="77" t="s">
        <v>411</v>
      </c>
      <c r="D289" s="30">
        <v>1</v>
      </c>
    </row>
    <row r="290" spans="3:4" x14ac:dyDescent="0.25">
      <c r="C290" s="76">
        <v>45750</v>
      </c>
      <c r="D290" s="30">
        <v>1</v>
      </c>
    </row>
    <row r="291" spans="3:4" x14ac:dyDescent="0.25">
      <c r="C291" s="77" t="s">
        <v>458</v>
      </c>
      <c r="D291" s="30">
        <v>1</v>
      </c>
    </row>
    <row r="292" spans="3:4" x14ac:dyDescent="0.25">
      <c r="C292" s="76">
        <v>45751</v>
      </c>
      <c r="D292" s="30">
        <v>1</v>
      </c>
    </row>
    <row r="293" spans="3:4" x14ac:dyDescent="0.25">
      <c r="C293" s="77" t="s">
        <v>315</v>
      </c>
      <c r="D293" s="30">
        <v>1</v>
      </c>
    </row>
    <row r="294" spans="3:4" x14ac:dyDescent="0.25">
      <c r="C294" s="76">
        <v>45757</v>
      </c>
      <c r="D294" s="30">
        <v>1</v>
      </c>
    </row>
    <row r="295" spans="3:4" x14ac:dyDescent="0.25">
      <c r="C295" s="77" t="s">
        <v>446</v>
      </c>
      <c r="D295" s="30">
        <v>1</v>
      </c>
    </row>
    <row r="296" spans="3:4" x14ac:dyDescent="0.25">
      <c r="C296" s="76">
        <v>45758</v>
      </c>
      <c r="D296" s="30">
        <v>1</v>
      </c>
    </row>
    <row r="297" spans="3:4" x14ac:dyDescent="0.25">
      <c r="C297" s="77" t="s">
        <v>315</v>
      </c>
      <c r="D297" s="30">
        <v>1</v>
      </c>
    </row>
    <row r="298" spans="3:4" x14ac:dyDescent="0.25">
      <c r="C298" s="76">
        <v>45764</v>
      </c>
      <c r="D298" s="30">
        <v>1</v>
      </c>
    </row>
    <row r="299" spans="3:4" x14ac:dyDescent="0.25">
      <c r="C299" s="77" t="s">
        <v>315</v>
      </c>
      <c r="D299" s="30">
        <v>1</v>
      </c>
    </row>
    <row r="300" spans="3:4" x14ac:dyDescent="0.25">
      <c r="C300" s="76">
        <v>45772</v>
      </c>
      <c r="D300" s="30">
        <v>3</v>
      </c>
    </row>
    <row r="301" spans="3:4" x14ac:dyDescent="0.25">
      <c r="C301" s="77" t="s">
        <v>315</v>
      </c>
      <c r="D301" s="30">
        <v>1</v>
      </c>
    </row>
    <row r="302" spans="3:4" x14ac:dyDescent="0.25">
      <c r="C302" s="77" t="s">
        <v>397</v>
      </c>
      <c r="D302" s="30">
        <v>1</v>
      </c>
    </row>
    <row r="303" spans="3:4" x14ac:dyDescent="0.25">
      <c r="C303" s="77" t="s">
        <v>459</v>
      </c>
      <c r="D303" s="30">
        <v>1</v>
      </c>
    </row>
    <row r="304" spans="3:4" x14ac:dyDescent="0.25">
      <c r="C304" s="73" t="s">
        <v>316</v>
      </c>
      <c r="D304" s="30">
        <v>1</v>
      </c>
    </row>
    <row r="305" spans="3:4" x14ac:dyDescent="0.25">
      <c r="C305" s="46" t="s">
        <v>521</v>
      </c>
      <c r="D305" s="30">
        <v>1</v>
      </c>
    </row>
    <row r="306" spans="3:4" x14ac:dyDescent="0.25">
      <c r="C306" s="59" t="s">
        <v>147</v>
      </c>
      <c r="D306" s="30">
        <v>1</v>
      </c>
    </row>
    <row r="307" spans="3:4" x14ac:dyDescent="0.25">
      <c r="C307" s="76">
        <v>45772</v>
      </c>
      <c r="D307" s="30">
        <v>1</v>
      </c>
    </row>
    <row r="308" spans="3:4" x14ac:dyDescent="0.25">
      <c r="C308" s="77" t="s">
        <v>317</v>
      </c>
      <c r="D308" s="30">
        <v>1</v>
      </c>
    </row>
    <row r="309" spans="3:4" x14ac:dyDescent="0.25">
      <c r="C309" s="73" t="s">
        <v>320</v>
      </c>
      <c r="D309" s="30">
        <v>2</v>
      </c>
    </row>
    <row r="310" spans="3:4" x14ac:dyDescent="0.25">
      <c r="C310" s="46" t="s">
        <v>521</v>
      </c>
      <c r="D310" s="30">
        <v>2</v>
      </c>
    </row>
    <row r="311" spans="3:4" x14ac:dyDescent="0.25">
      <c r="C311" s="59" t="s">
        <v>147</v>
      </c>
      <c r="D311" s="30">
        <v>2</v>
      </c>
    </row>
    <row r="312" spans="3:4" x14ac:dyDescent="0.25">
      <c r="C312" s="76">
        <v>45748</v>
      </c>
      <c r="D312" s="30">
        <v>1</v>
      </c>
    </row>
    <row r="313" spans="3:4" x14ac:dyDescent="0.25">
      <c r="C313" s="77" t="s">
        <v>485</v>
      </c>
      <c r="D313" s="30">
        <v>1</v>
      </c>
    </row>
    <row r="314" spans="3:4" x14ac:dyDescent="0.25">
      <c r="C314" s="76">
        <v>45776</v>
      </c>
      <c r="D314" s="30">
        <v>1</v>
      </c>
    </row>
    <row r="315" spans="3:4" x14ac:dyDescent="0.25">
      <c r="C315" s="77" t="s">
        <v>321</v>
      </c>
      <c r="D315" s="30">
        <v>1</v>
      </c>
    </row>
    <row r="316" spans="3:4" x14ac:dyDescent="0.25">
      <c r="C316" s="73" t="s">
        <v>379</v>
      </c>
      <c r="D316" s="30">
        <v>1</v>
      </c>
    </row>
    <row r="317" spans="3:4" x14ac:dyDescent="0.25">
      <c r="C317" s="46" t="s">
        <v>521</v>
      </c>
      <c r="D317" s="30">
        <v>1</v>
      </c>
    </row>
    <row r="318" spans="3:4" x14ac:dyDescent="0.25">
      <c r="C318" s="59" t="s">
        <v>147</v>
      </c>
      <c r="D318" s="30">
        <v>1</v>
      </c>
    </row>
    <row r="319" spans="3:4" x14ac:dyDescent="0.25">
      <c r="C319" s="76">
        <v>45775</v>
      </c>
      <c r="D319" s="30">
        <v>1</v>
      </c>
    </row>
    <row r="320" spans="3:4" x14ac:dyDescent="0.25">
      <c r="C320" s="77" t="s">
        <v>380</v>
      </c>
      <c r="D320" s="30">
        <v>1</v>
      </c>
    </row>
    <row r="321" spans="3:4" x14ac:dyDescent="0.25">
      <c r="C321" s="73" t="s">
        <v>448</v>
      </c>
      <c r="D321" s="30">
        <v>1</v>
      </c>
    </row>
    <row r="322" spans="3:4" x14ac:dyDescent="0.25">
      <c r="C322" s="46" t="s">
        <v>521</v>
      </c>
      <c r="D322" s="30">
        <v>1</v>
      </c>
    </row>
    <row r="323" spans="3:4" x14ac:dyDescent="0.25">
      <c r="C323" s="59" t="s">
        <v>147</v>
      </c>
      <c r="D323" s="30">
        <v>1</v>
      </c>
    </row>
    <row r="324" spans="3:4" x14ac:dyDescent="0.25">
      <c r="C324" s="76">
        <v>45751</v>
      </c>
      <c r="D324" s="30">
        <v>1</v>
      </c>
    </row>
    <row r="325" spans="3:4" x14ac:dyDescent="0.25">
      <c r="C325" s="77" t="s">
        <v>449</v>
      </c>
      <c r="D325" s="30">
        <v>1</v>
      </c>
    </row>
    <row r="326" spans="3:4" x14ac:dyDescent="0.25">
      <c r="C326" s="29" t="s">
        <v>139</v>
      </c>
      <c r="D326" s="30">
        <v>28</v>
      </c>
    </row>
    <row r="327" spans="3:4" x14ac:dyDescent="0.25">
      <c r="C327" s="73" t="s">
        <v>138</v>
      </c>
      <c r="D327" s="30">
        <v>4</v>
      </c>
    </row>
    <row r="328" spans="3:4" x14ac:dyDescent="0.25">
      <c r="C328" s="46" t="s">
        <v>521</v>
      </c>
      <c r="D328" s="30">
        <v>4</v>
      </c>
    </row>
    <row r="329" spans="3:4" x14ac:dyDescent="0.25">
      <c r="C329" s="59" t="s">
        <v>147</v>
      </c>
      <c r="D329" s="30">
        <v>4</v>
      </c>
    </row>
    <row r="330" spans="3:4" x14ac:dyDescent="0.25">
      <c r="C330" s="76">
        <v>45761</v>
      </c>
      <c r="D330" s="30">
        <v>1</v>
      </c>
    </row>
    <row r="331" spans="3:4" x14ac:dyDescent="0.25">
      <c r="C331" s="77" t="s">
        <v>360</v>
      </c>
      <c r="D331" s="30">
        <v>1</v>
      </c>
    </row>
    <row r="332" spans="3:4" x14ac:dyDescent="0.25">
      <c r="C332" s="76">
        <v>45769</v>
      </c>
      <c r="D332" s="30">
        <v>2</v>
      </c>
    </row>
    <row r="333" spans="3:4" x14ac:dyDescent="0.25">
      <c r="C333" s="77" t="s">
        <v>142</v>
      </c>
      <c r="D333" s="30">
        <v>1</v>
      </c>
    </row>
    <row r="334" spans="3:4" x14ac:dyDescent="0.25">
      <c r="C334" s="77" t="s">
        <v>144</v>
      </c>
      <c r="D334" s="30">
        <v>1</v>
      </c>
    </row>
    <row r="335" spans="3:4" x14ac:dyDescent="0.25">
      <c r="C335" s="76">
        <v>45771</v>
      </c>
      <c r="D335" s="30">
        <v>1</v>
      </c>
    </row>
    <row r="336" spans="3:4" x14ac:dyDescent="0.25">
      <c r="C336" s="77" t="s">
        <v>140</v>
      </c>
      <c r="D336" s="30">
        <v>1</v>
      </c>
    </row>
    <row r="337" spans="3:4" x14ac:dyDescent="0.25">
      <c r="C337" s="73" t="s">
        <v>213</v>
      </c>
      <c r="D337" s="30">
        <v>2</v>
      </c>
    </row>
    <row r="338" spans="3:4" x14ac:dyDescent="0.25">
      <c r="C338" s="46" t="s">
        <v>521</v>
      </c>
      <c r="D338" s="30">
        <v>2</v>
      </c>
    </row>
    <row r="339" spans="3:4" x14ac:dyDescent="0.25">
      <c r="C339" s="59" t="s">
        <v>147</v>
      </c>
      <c r="D339" s="30">
        <v>2</v>
      </c>
    </row>
    <row r="340" spans="3:4" x14ac:dyDescent="0.25">
      <c r="C340" s="76">
        <v>45749</v>
      </c>
      <c r="D340" s="30">
        <v>1</v>
      </c>
    </row>
    <row r="341" spans="3:4" x14ac:dyDescent="0.25">
      <c r="C341" s="77" t="s">
        <v>465</v>
      </c>
      <c r="D341" s="30">
        <v>1</v>
      </c>
    </row>
    <row r="342" spans="3:4" x14ac:dyDescent="0.25">
      <c r="C342" s="76">
        <v>45771</v>
      </c>
      <c r="D342" s="30">
        <v>1</v>
      </c>
    </row>
    <row r="343" spans="3:4" x14ac:dyDescent="0.25">
      <c r="C343" s="77" t="s">
        <v>214</v>
      </c>
      <c r="D343" s="30">
        <v>1</v>
      </c>
    </row>
    <row r="344" spans="3:4" x14ac:dyDescent="0.25">
      <c r="C344" s="73" t="s">
        <v>236</v>
      </c>
      <c r="D344" s="30">
        <v>2</v>
      </c>
    </row>
    <row r="345" spans="3:4" x14ac:dyDescent="0.25">
      <c r="C345" s="46" t="s">
        <v>521</v>
      </c>
      <c r="D345" s="30">
        <v>2</v>
      </c>
    </row>
    <row r="346" spans="3:4" x14ac:dyDescent="0.25">
      <c r="C346" s="59" t="s">
        <v>147</v>
      </c>
      <c r="D346" s="30">
        <v>2</v>
      </c>
    </row>
    <row r="347" spans="3:4" x14ac:dyDescent="0.25">
      <c r="C347" s="76">
        <v>45769</v>
      </c>
      <c r="D347" s="30">
        <v>1</v>
      </c>
    </row>
    <row r="348" spans="3:4" x14ac:dyDescent="0.25">
      <c r="C348" s="77" t="s">
        <v>237</v>
      </c>
      <c r="D348" s="30">
        <v>1</v>
      </c>
    </row>
    <row r="349" spans="3:4" x14ac:dyDescent="0.25">
      <c r="C349" s="76">
        <v>45772</v>
      </c>
      <c r="D349" s="30">
        <v>1</v>
      </c>
    </row>
    <row r="350" spans="3:4" x14ac:dyDescent="0.25">
      <c r="C350" s="77" t="s">
        <v>489</v>
      </c>
      <c r="D350" s="30">
        <v>1</v>
      </c>
    </row>
    <row r="351" spans="3:4" x14ac:dyDescent="0.25">
      <c r="C351" s="73" t="s">
        <v>290</v>
      </c>
      <c r="D351" s="30">
        <v>18</v>
      </c>
    </row>
    <row r="352" spans="3:4" x14ac:dyDescent="0.25">
      <c r="C352" s="46" t="s">
        <v>521</v>
      </c>
      <c r="D352" s="30">
        <v>18</v>
      </c>
    </row>
    <row r="353" spans="3:4" x14ac:dyDescent="0.25">
      <c r="C353" s="59" t="s">
        <v>147</v>
      </c>
      <c r="D353" s="30">
        <v>18</v>
      </c>
    </row>
    <row r="354" spans="3:4" x14ac:dyDescent="0.25">
      <c r="C354" s="76">
        <v>45748</v>
      </c>
      <c r="D354" s="30">
        <v>1</v>
      </c>
    </row>
    <row r="355" spans="3:4" x14ac:dyDescent="0.25">
      <c r="C355" s="77" t="s">
        <v>401</v>
      </c>
      <c r="D355" s="30">
        <v>1</v>
      </c>
    </row>
    <row r="356" spans="3:4" x14ac:dyDescent="0.25">
      <c r="C356" s="76">
        <v>45751</v>
      </c>
      <c r="D356" s="30">
        <v>3</v>
      </c>
    </row>
    <row r="357" spans="3:4" x14ac:dyDescent="0.25">
      <c r="C357" s="77" t="s">
        <v>442</v>
      </c>
      <c r="D357" s="30">
        <v>1</v>
      </c>
    </row>
    <row r="358" spans="3:4" x14ac:dyDescent="0.25">
      <c r="C358" s="77" t="s">
        <v>494</v>
      </c>
      <c r="D358" s="30">
        <v>1</v>
      </c>
    </row>
    <row r="359" spans="3:4" x14ac:dyDescent="0.25">
      <c r="C359" s="77" t="s">
        <v>509</v>
      </c>
      <c r="D359" s="30">
        <v>1</v>
      </c>
    </row>
    <row r="360" spans="3:4" x14ac:dyDescent="0.25">
      <c r="C360" s="76">
        <v>45754</v>
      </c>
      <c r="D360" s="30">
        <v>1</v>
      </c>
    </row>
    <row r="361" spans="3:4" x14ac:dyDescent="0.25">
      <c r="C361" s="77" t="s">
        <v>345</v>
      </c>
      <c r="D361" s="30">
        <v>1</v>
      </c>
    </row>
    <row r="362" spans="3:4" x14ac:dyDescent="0.25">
      <c r="C362" s="76">
        <v>45755</v>
      </c>
      <c r="D362" s="30">
        <v>1</v>
      </c>
    </row>
    <row r="363" spans="3:4" x14ac:dyDescent="0.25">
      <c r="C363" s="77" t="s">
        <v>492</v>
      </c>
      <c r="D363" s="30">
        <v>1</v>
      </c>
    </row>
    <row r="364" spans="3:4" x14ac:dyDescent="0.25">
      <c r="C364" s="76">
        <v>45758</v>
      </c>
      <c r="D364" s="30">
        <v>2</v>
      </c>
    </row>
    <row r="365" spans="3:4" x14ac:dyDescent="0.25">
      <c r="C365" s="77" t="s">
        <v>346</v>
      </c>
      <c r="D365" s="30">
        <v>1</v>
      </c>
    </row>
    <row r="366" spans="3:4" x14ac:dyDescent="0.25">
      <c r="C366" s="77" t="s">
        <v>493</v>
      </c>
      <c r="D366" s="30">
        <v>1</v>
      </c>
    </row>
    <row r="367" spans="3:4" x14ac:dyDescent="0.25">
      <c r="C367" s="76">
        <v>45764</v>
      </c>
      <c r="D367" s="30">
        <v>1</v>
      </c>
    </row>
    <row r="368" spans="3:4" x14ac:dyDescent="0.25">
      <c r="C368" s="77" t="s">
        <v>436</v>
      </c>
      <c r="D368" s="30">
        <v>1</v>
      </c>
    </row>
    <row r="369" spans="3:4" x14ac:dyDescent="0.25">
      <c r="C369" s="76">
        <v>45770</v>
      </c>
      <c r="D369" s="30">
        <v>1</v>
      </c>
    </row>
    <row r="370" spans="3:4" x14ac:dyDescent="0.25">
      <c r="C370" s="77" t="s">
        <v>365</v>
      </c>
      <c r="D370" s="30">
        <v>1</v>
      </c>
    </row>
    <row r="371" spans="3:4" x14ac:dyDescent="0.25">
      <c r="C371" s="76">
        <v>45772</v>
      </c>
      <c r="D371" s="30">
        <v>1</v>
      </c>
    </row>
    <row r="372" spans="3:4" x14ac:dyDescent="0.25">
      <c r="C372" s="77" t="s">
        <v>291</v>
      </c>
      <c r="D372" s="30">
        <v>1</v>
      </c>
    </row>
    <row r="373" spans="3:4" x14ac:dyDescent="0.25">
      <c r="C373" s="76">
        <v>45775</v>
      </c>
      <c r="D373" s="30">
        <v>2</v>
      </c>
    </row>
    <row r="374" spans="3:4" x14ac:dyDescent="0.25">
      <c r="C374" s="77" t="s">
        <v>372</v>
      </c>
      <c r="D374" s="30">
        <v>1</v>
      </c>
    </row>
    <row r="375" spans="3:4" x14ac:dyDescent="0.25">
      <c r="C375" s="77" t="s">
        <v>455</v>
      </c>
      <c r="D375" s="30">
        <v>1</v>
      </c>
    </row>
    <row r="376" spans="3:4" x14ac:dyDescent="0.25">
      <c r="C376" s="76">
        <v>45776</v>
      </c>
      <c r="D376" s="30">
        <v>4</v>
      </c>
    </row>
    <row r="377" spans="3:4" x14ac:dyDescent="0.25">
      <c r="C377" s="77" t="s">
        <v>293</v>
      </c>
      <c r="D377" s="30">
        <v>1</v>
      </c>
    </row>
    <row r="378" spans="3:4" x14ac:dyDescent="0.25">
      <c r="C378" s="77" t="s">
        <v>374</v>
      </c>
      <c r="D378" s="30">
        <v>1</v>
      </c>
    </row>
    <row r="379" spans="3:4" x14ac:dyDescent="0.25">
      <c r="C379" s="77" t="s">
        <v>399</v>
      </c>
      <c r="D379" s="30">
        <v>1</v>
      </c>
    </row>
    <row r="380" spans="3:4" x14ac:dyDescent="0.25">
      <c r="C380" s="77" t="s">
        <v>495</v>
      </c>
      <c r="D380" s="30">
        <v>1</v>
      </c>
    </row>
    <row r="381" spans="3:4" x14ac:dyDescent="0.25">
      <c r="C381" s="76">
        <v>45777</v>
      </c>
      <c r="D381" s="30">
        <v>1</v>
      </c>
    </row>
    <row r="382" spans="3:4" x14ac:dyDescent="0.25">
      <c r="C382" s="77" t="s">
        <v>361</v>
      </c>
      <c r="D382" s="30">
        <v>1</v>
      </c>
    </row>
    <row r="383" spans="3:4" x14ac:dyDescent="0.25">
      <c r="C383" s="73" t="s">
        <v>350</v>
      </c>
      <c r="D383" s="30">
        <v>2</v>
      </c>
    </row>
    <row r="384" spans="3:4" x14ac:dyDescent="0.25">
      <c r="C384" s="46" t="s">
        <v>521</v>
      </c>
      <c r="D384" s="30">
        <v>2</v>
      </c>
    </row>
    <row r="385" spans="3:4" x14ac:dyDescent="0.25">
      <c r="C385" s="59" t="s">
        <v>147</v>
      </c>
      <c r="D385" s="30">
        <v>2</v>
      </c>
    </row>
    <row r="386" spans="3:4" x14ac:dyDescent="0.25">
      <c r="C386" s="76">
        <v>45748</v>
      </c>
      <c r="D386" s="30">
        <v>1</v>
      </c>
    </row>
    <row r="387" spans="3:4" x14ac:dyDescent="0.25">
      <c r="C387" s="77" t="s">
        <v>466</v>
      </c>
      <c r="D387" s="30">
        <v>1</v>
      </c>
    </row>
    <row r="388" spans="3:4" x14ac:dyDescent="0.25">
      <c r="C388" s="76">
        <v>45757</v>
      </c>
      <c r="D388" s="30">
        <v>1</v>
      </c>
    </row>
    <row r="389" spans="3:4" x14ac:dyDescent="0.25">
      <c r="C389" s="77" t="s">
        <v>351</v>
      </c>
      <c r="D389" s="30">
        <v>1</v>
      </c>
    </row>
    <row r="390" spans="3:4" x14ac:dyDescent="0.25">
      <c r="C390" s="29" t="s">
        <v>173</v>
      </c>
      <c r="D390" s="30">
        <v>101</v>
      </c>
    </row>
    <row r="391" spans="3:4" x14ac:dyDescent="0.25">
      <c r="C391" s="73" t="s">
        <v>172</v>
      </c>
      <c r="D391" s="30">
        <v>3</v>
      </c>
    </row>
    <row r="392" spans="3:4" x14ac:dyDescent="0.25">
      <c r="C392" s="46" t="s">
        <v>521</v>
      </c>
      <c r="D392" s="30">
        <v>3</v>
      </c>
    </row>
    <row r="393" spans="3:4" x14ac:dyDescent="0.25">
      <c r="C393" s="59" t="s">
        <v>147</v>
      </c>
      <c r="D393" s="30">
        <v>3</v>
      </c>
    </row>
    <row r="394" spans="3:4" x14ac:dyDescent="0.25">
      <c r="C394" s="76">
        <v>45763</v>
      </c>
      <c r="D394" s="30">
        <v>1</v>
      </c>
    </row>
    <row r="395" spans="3:4" x14ac:dyDescent="0.25">
      <c r="C395" s="77" t="s">
        <v>178</v>
      </c>
      <c r="D395" s="30">
        <v>1</v>
      </c>
    </row>
    <row r="396" spans="3:4" x14ac:dyDescent="0.25">
      <c r="C396" s="76">
        <v>45776</v>
      </c>
      <c r="D396" s="30">
        <v>1</v>
      </c>
    </row>
    <row r="397" spans="3:4" x14ac:dyDescent="0.25">
      <c r="C397" s="77" t="s">
        <v>174</v>
      </c>
      <c r="D397" s="30">
        <v>1</v>
      </c>
    </row>
    <row r="398" spans="3:4" x14ac:dyDescent="0.25">
      <c r="C398" s="76">
        <v>45777</v>
      </c>
      <c r="D398" s="30">
        <v>1</v>
      </c>
    </row>
    <row r="399" spans="3:4" x14ac:dyDescent="0.25">
      <c r="C399" s="77" t="s">
        <v>176</v>
      </c>
      <c r="D399" s="30">
        <v>1</v>
      </c>
    </row>
    <row r="400" spans="3:4" x14ac:dyDescent="0.25">
      <c r="C400" s="73" t="s">
        <v>180</v>
      </c>
      <c r="D400" s="30">
        <v>11</v>
      </c>
    </row>
    <row r="401" spans="3:4" x14ac:dyDescent="0.25">
      <c r="C401" s="46" t="s">
        <v>521</v>
      </c>
      <c r="D401" s="30">
        <v>11</v>
      </c>
    </row>
    <row r="402" spans="3:4" x14ac:dyDescent="0.25">
      <c r="C402" s="59" t="s">
        <v>147</v>
      </c>
      <c r="D402" s="30">
        <v>11</v>
      </c>
    </row>
    <row r="403" spans="3:4" x14ac:dyDescent="0.25">
      <c r="C403" s="76">
        <v>45748</v>
      </c>
      <c r="D403" s="30">
        <v>1</v>
      </c>
    </row>
    <row r="404" spans="3:4" x14ac:dyDescent="0.25">
      <c r="C404" s="77" t="s">
        <v>516</v>
      </c>
      <c r="D404" s="30">
        <v>1</v>
      </c>
    </row>
    <row r="405" spans="3:4" x14ac:dyDescent="0.25">
      <c r="C405" s="76">
        <v>45749</v>
      </c>
      <c r="D405" s="30">
        <v>3</v>
      </c>
    </row>
    <row r="406" spans="3:4" x14ac:dyDescent="0.25">
      <c r="C406" s="77" t="s">
        <v>517</v>
      </c>
      <c r="D406" s="30">
        <v>1</v>
      </c>
    </row>
    <row r="407" spans="3:4" x14ac:dyDescent="0.25">
      <c r="C407" s="77" t="s">
        <v>518</v>
      </c>
      <c r="D407" s="30">
        <v>1</v>
      </c>
    </row>
    <row r="408" spans="3:4" x14ac:dyDescent="0.25">
      <c r="C408" s="77" t="s">
        <v>519</v>
      </c>
      <c r="D408" s="30">
        <v>1</v>
      </c>
    </row>
    <row r="409" spans="3:4" x14ac:dyDescent="0.25">
      <c r="C409" s="76">
        <v>45750</v>
      </c>
      <c r="D409" s="30">
        <v>2</v>
      </c>
    </row>
    <row r="410" spans="3:4" x14ac:dyDescent="0.25">
      <c r="C410" s="77" t="s">
        <v>322</v>
      </c>
      <c r="D410" s="30">
        <v>1</v>
      </c>
    </row>
    <row r="411" spans="3:4" x14ac:dyDescent="0.25">
      <c r="C411" s="77" t="s">
        <v>326</v>
      </c>
      <c r="D411" s="30">
        <v>1</v>
      </c>
    </row>
    <row r="412" spans="3:4" x14ac:dyDescent="0.25">
      <c r="C412" s="76">
        <v>45754</v>
      </c>
      <c r="D412" s="30">
        <v>1</v>
      </c>
    </row>
    <row r="413" spans="3:4" x14ac:dyDescent="0.25">
      <c r="C413" s="77" t="s">
        <v>182</v>
      </c>
      <c r="D413" s="30">
        <v>1</v>
      </c>
    </row>
    <row r="414" spans="3:4" x14ac:dyDescent="0.25">
      <c r="C414" s="76">
        <v>45755</v>
      </c>
      <c r="D414" s="30">
        <v>1</v>
      </c>
    </row>
    <row r="415" spans="3:4" x14ac:dyDescent="0.25">
      <c r="C415" s="77" t="s">
        <v>269</v>
      </c>
      <c r="D415" s="30">
        <v>1</v>
      </c>
    </row>
    <row r="416" spans="3:4" x14ac:dyDescent="0.25">
      <c r="C416" s="76">
        <v>45763</v>
      </c>
      <c r="D416" s="30">
        <v>2</v>
      </c>
    </row>
    <row r="417" spans="3:4" x14ac:dyDescent="0.25">
      <c r="C417" s="77" t="s">
        <v>181</v>
      </c>
      <c r="D417" s="30">
        <v>1</v>
      </c>
    </row>
    <row r="418" spans="3:4" x14ac:dyDescent="0.25">
      <c r="C418" s="77" t="s">
        <v>225</v>
      </c>
      <c r="D418" s="30">
        <v>1</v>
      </c>
    </row>
    <row r="419" spans="3:4" x14ac:dyDescent="0.25">
      <c r="C419" s="76">
        <v>45776</v>
      </c>
      <c r="D419" s="30">
        <v>1</v>
      </c>
    </row>
    <row r="420" spans="3:4" x14ac:dyDescent="0.25">
      <c r="C420" s="77" t="s">
        <v>242</v>
      </c>
      <c r="D420" s="30">
        <v>1</v>
      </c>
    </row>
    <row r="421" spans="3:4" x14ac:dyDescent="0.25">
      <c r="C421" s="73" t="s">
        <v>193</v>
      </c>
      <c r="D421" s="30">
        <v>2</v>
      </c>
    </row>
    <row r="422" spans="3:4" x14ac:dyDescent="0.25">
      <c r="C422" s="46" t="s">
        <v>521</v>
      </c>
      <c r="D422" s="30">
        <v>2</v>
      </c>
    </row>
    <row r="423" spans="3:4" x14ac:dyDescent="0.25">
      <c r="C423" s="59" t="s">
        <v>147</v>
      </c>
      <c r="D423" s="30">
        <v>2</v>
      </c>
    </row>
    <row r="424" spans="3:4" x14ac:dyDescent="0.25">
      <c r="C424" s="76">
        <v>45769</v>
      </c>
      <c r="D424" s="30">
        <v>1</v>
      </c>
    </row>
    <row r="425" spans="3:4" x14ac:dyDescent="0.25">
      <c r="C425" s="77" t="s">
        <v>194</v>
      </c>
      <c r="D425" s="30">
        <v>1</v>
      </c>
    </row>
    <row r="426" spans="3:4" x14ac:dyDescent="0.25">
      <c r="C426" s="76">
        <v>45777</v>
      </c>
      <c r="D426" s="30">
        <v>1</v>
      </c>
    </row>
    <row r="427" spans="3:4" x14ac:dyDescent="0.25">
      <c r="C427" s="77" t="s">
        <v>209</v>
      </c>
      <c r="D427" s="30">
        <v>1</v>
      </c>
    </row>
    <row r="428" spans="3:4" x14ac:dyDescent="0.25">
      <c r="C428" s="73" t="s">
        <v>196</v>
      </c>
      <c r="D428" s="30">
        <v>2</v>
      </c>
    </row>
    <row r="429" spans="3:4" x14ac:dyDescent="0.25">
      <c r="C429" s="46" t="s">
        <v>521</v>
      </c>
      <c r="D429" s="30">
        <v>2</v>
      </c>
    </row>
    <row r="430" spans="3:4" x14ac:dyDescent="0.25">
      <c r="C430" s="59" t="s">
        <v>147</v>
      </c>
      <c r="D430" s="30">
        <v>2</v>
      </c>
    </row>
    <row r="431" spans="3:4" x14ac:dyDescent="0.25">
      <c r="C431" s="76">
        <v>45749</v>
      </c>
      <c r="D431" s="30">
        <v>1</v>
      </c>
    </row>
    <row r="432" spans="3:4" x14ac:dyDescent="0.25">
      <c r="C432" s="77" t="s">
        <v>197</v>
      </c>
      <c r="D432" s="30">
        <v>1</v>
      </c>
    </row>
    <row r="433" spans="3:4" x14ac:dyDescent="0.25">
      <c r="C433" s="76">
        <v>45751</v>
      </c>
      <c r="D433" s="30">
        <v>1</v>
      </c>
    </row>
    <row r="434" spans="3:4" x14ac:dyDescent="0.25">
      <c r="C434" s="77" t="s">
        <v>471</v>
      </c>
      <c r="D434" s="30">
        <v>1</v>
      </c>
    </row>
    <row r="435" spans="3:4" x14ac:dyDescent="0.25">
      <c r="C435" s="73" t="s">
        <v>215</v>
      </c>
      <c r="D435" s="30">
        <v>8</v>
      </c>
    </row>
    <row r="436" spans="3:4" x14ac:dyDescent="0.25">
      <c r="C436" s="46" t="s">
        <v>521</v>
      </c>
      <c r="D436" s="30">
        <v>8</v>
      </c>
    </row>
    <row r="437" spans="3:4" x14ac:dyDescent="0.25">
      <c r="C437" s="59" t="s">
        <v>147</v>
      </c>
      <c r="D437" s="30">
        <v>8</v>
      </c>
    </row>
    <row r="438" spans="3:4" x14ac:dyDescent="0.25">
      <c r="C438" s="76">
        <v>45748</v>
      </c>
      <c r="D438" s="30">
        <v>2</v>
      </c>
    </row>
    <row r="439" spans="3:4" x14ac:dyDescent="0.25">
      <c r="C439" s="77" t="s">
        <v>216</v>
      </c>
      <c r="D439" s="30">
        <v>1</v>
      </c>
    </row>
    <row r="440" spans="3:4" x14ac:dyDescent="0.25">
      <c r="C440" s="77" t="s">
        <v>404</v>
      </c>
      <c r="D440" s="30">
        <v>1</v>
      </c>
    </row>
    <row r="441" spans="3:4" x14ac:dyDescent="0.25">
      <c r="C441" s="76">
        <v>45754</v>
      </c>
      <c r="D441" s="30">
        <v>1</v>
      </c>
    </row>
    <row r="442" spans="3:4" x14ac:dyDescent="0.25">
      <c r="C442" s="77" t="s">
        <v>402</v>
      </c>
      <c r="D442" s="30">
        <v>1</v>
      </c>
    </row>
    <row r="443" spans="3:4" x14ac:dyDescent="0.25">
      <c r="C443" s="76">
        <v>45756</v>
      </c>
      <c r="D443" s="30">
        <v>1</v>
      </c>
    </row>
    <row r="444" spans="3:4" x14ac:dyDescent="0.25">
      <c r="C444" s="77" t="s">
        <v>391</v>
      </c>
      <c r="D444" s="30">
        <v>1</v>
      </c>
    </row>
    <row r="445" spans="3:4" x14ac:dyDescent="0.25">
      <c r="C445" s="76">
        <v>45757</v>
      </c>
      <c r="D445" s="30">
        <v>1</v>
      </c>
    </row>
    <row r="446" spans="3:4" x14ac:dyDescent="0.25">
      <c r="C446" s="77" t="s">
        <v>356</v>
      </c>
      <c r="D446" s="30">
        <v>1</v>
      </c>
    </row>
    <row r="447" spans="3:4" x14ac:dyDescent="0.25">
      <c r="C447" s="76">
        <v>45762</v>
      </c>
      <c r="D447" s="30">
        <v>1</v>
      </c>
    </row>
    <row r="448" spans="3:4" x14ac:dyDescent="0.25">
      <c r="C448" s="77" t="s">
        <v>367</v>
      </c>
      <c r="D448" s="30">
        <v>1</v>
      </c>
    </row>
    <row r="449" spans="3:4" x14ac:dyDescent="0.25">
      <c r="C449" s="76">
        <v>45769</v>
      </c>
      <c r="D449" s="30">
        <v>1</v>
      </c>
    </row>
    <row r="450" spans="3:4" x14ac:dyDescent="0.25">
      <c r="C450" s="77" t="s">
        <v>403</v>
      </c>
      <c r="D450" s="30">
        <v>1</v>
      </c>
    </row>
    <row r="451" spans="3:4" x14ac:dyDescent="0.25">
      <c r="C451" s="76">
        <v>45770</v>
      </c>
      <c r="D451" s="30">
        <v>1</v>
      </c>
    </row>
    <row r="452" spans="3:4" x14ac:dyDescent="0.25">
      <c r="C452" s="77" t="s">
        <v>375</v>
      </c>
      <c r="D452" s="30">
        <v>1</v>
      </c>
    </row>
    <row r="453" spans="3:4" x14ac:dyDescent="0.25">
      <c r="C453" s="73" t="s">
        <v>223</v>
      </c>
      <c r="D453" s="30">
        <v>31</v>
      </c>
    </row>
    <row r="454" spans="3:4" x14ac:dyDescent="0.25">
      <c r="C454" s="46" t="s">
        <v>521</v>
      </c>
      <c r="D454" s="30">
        <v>31</v>
      </c>
    </row>
    <row r="455" spans="3:4" x14ac:dyDescent="0.25">
      <c r="C455" s="59" t="s">
        <v>147</v>
      </c>
      <c r="D455" s="30">
        <v>31</v>
      </c>
    </row>
    <row r="456" spans="3:4" x14ac:dyDescent="0.25">
      <c r="C456" s="76">
        <v>45748</v>
      </c>
      <c r="D456" s="30">
        <v>2</v>
      </c>
    </row>
    <row r="457" spans="3:4" x14ac:dyDescent="0.25">
      <c r="C457" s="77" t="s">
        <v>405</v>
      </c>
      <c r="D457" s="30">
        <v>1</v>
      </c>
    </row>
    <row r="458" spans="3:4" x14ac:dyDescent="0.25">
      <c r="C458" s="77" t="s">
        <v>454</v>
      </c>
      <c r="D458" s="30">
        <v>1</v>
      </c>
    </row>
    <row r="459" spans="3:4" x14ac:dyDescent="0.25">
      <c r="C459" s="76">
        <v>45749</v>
      </c>
      <c r="D459" s="30">
        <v>1</v>
      </c>
    </row>
    <row r="460" spans="3:4" x14ac:dyDescent="0.25">
      <c r="C460" s="77" t="s">
        <v>398</v>
      </c>
      <c r="D460" s="30">
        <v>1</v>
      </c>
    </row>
    <row r="461" spans="3:4" x14ac:dyDescent="0.25">
      <c r="C461" s="76">
        <v>45750</v>
      </c>
      <c r="D461" s="30">
        <v>2</v>
      </c>
    </row>
    <row r="462" spans="3:4" x14ac:dyDescent="0.25">
      <c r="C462" s="77" t="s">
        <v>384</v>
      </c>
      <c r="D462" s="30">
        <v>1</v>
      </c>
    </row>
    <row r="463" spans="3:4" x14ac:dyDescent="0.25">
      <c r="C463" s="77" t="s">
        <v>452</v>
      </c>
      <c r="D463" s="30">
        <v>1</v>
      </c>
    </row>
    <row r="464" spans="3:4" x14ac:dyDescent="0.25">
      <c r="C464" s="76">
        <v>45754</v>
      </c>
      <c r="D464" s="30">
        <v>1</v>
      </c>
    </row>
    <row r="465" spans="3:4" x14ac:dyDescent="0.25">
      <c r="C465" s="77" t="s">
        <v>385</v>
      </c>
      <c r="D465" s="30">
        <v>1</v>
      </c>
    </row>
    <row r="466" spans="3:4" x14ac:dyDescent="0.25">
      <c r="C466" s="76">
        <v>45755</v>
      </c>
      <c r="D466" s="30">
        <v>1</v>
      </c>
    </row>
    <row r="467" spans="3:4" x14ac:dyDescent="0.25">
      <c r="C467" s="77" t="s">
        <v>434</v>
      </c>
      <c r="D467" s="30">
        <v>1</v>
      </c>
    </row>
    <row r="468" spans="3:4" x14ac:dyDescent="0.25">
      <c r="C468" s="76">
        <v>45756</v>
      </c>
      <c r="D468" s="30">
        <v>1</v>
      </c>
    </row>
    <row r="469" spans="3:4" x14ac:dyDescent="0.25">
      <c r="C469" s="77" t="s">
        <v>272</v>
      </c>
      <c r="D469" s="30">
        <v>1</v>
      </c>
    </row>
    <row r="470" spans="3:4" x14ac:dyDescent="0.25">
      <c r="C470" s="76">
        <v>45757</v>
      </c>
      <c r="D470" s="30">
        <v>1</v>
      </c>
    </row>
    <row r="471" spans="3:4" x14ac:dyDescent="0.25">
      <c r="C471" s="77" t="s">
        <v>355</v>
      </c>
      <c r="D471" s="30">
        <v>1</v>
      </c>
    </row>
    <row r="472" spans="3:4" x14ac:dyDescent="0.25">
      <c r="C472" s="76">
        <v>45758</v>
      </c>
      <c r="D472" s="30">
        <v>5</v>
      </c>
    </row>
    <row r="473" spans="3:4" x14ac:dyDescent="0.25">
      <c r="C473" s="77" t="s">
        <v>224</v>
      </c>
      <c r="D473" s="30">
        <v>1</v>
      </c>
    </row>
    <row r="474" spans="3:4" x14ac:dyDescent="0.25">
      <c r="C474" s="77" t="s">
        <v>354</v>
      </c>
      <c r="D474" s="30">
        <v>1</v>
      </c>
    </row>
    <row r="475" spans="3:4" x14ac:dyDescent="0.25">
      <c r="C475" s="77" t="s">
        <v>358</v>
      </c>
      <c r="D475" s="30">
        <v>1</v>
      </c>
    </row>
    <row r="476" spans="3:4" x14ac:dyDescent="0.25">
      <c r="C476" s="77" t="s">
        <v>359</v>
      </c>
      <c r="D476" s="30">
        <v>1</v>
      </c>
    </row>
    <row r="477" spans="3:4" x14ac:dyDescent="0.25">
      <c r="C477" s="77" t="s">
        <v>488</v>
      </c>
      <c r="D477" s="30">
        <v>1</v>
      </c>
    </row>
    <row r="478" spans="3:4" x14ac:dyDescent="0.25">
      <c r="C478" s="76">
        <v>45761</v>
      </c>
      <c r="D478" s="30">
        <v>2</v>
      </c>
    </row>
    <row r="479" spans="3:4" x14ac:dyDescent="0.25">
      <c r="C479" s="77" t="s">
        <v>357</v>
      </c>
      <c r="D479" s="30">
        <v>1</v>
      </c>
    </row>
    <row r="480" spans="3:4" x14ac:dyDescent="0.25">
      <c r="C480" s="77" t="s">
        <v>479</v>
      </c>
      <c r="D480" s="30">
        <v>1</v>
      </c>
    </row>
    <row r="481" spans="3:4" x14ac:dyDescent="0.25">
      <c r="C481" s="76">
        <v>45763</v>
      </c>
      <c r="D481" s="30">
        <v>2</v>
      </c>
    </row>
    <row r="482" spans="3:4" x14ac:dyDescent="0.25">
      <c r="C482" s="77" t="s">
        <v>371</v>
      </c>
      <c r="D482" s="30">
        <v>1</v>
      </c>
    </row>
    <row r="483" spans="3:4" x14ac:dyDescent="0.25">
      <c r="C483" s="77" t="s">
        <v>439</v>
      </c>
      <c r="D483" s="30">
        <v>1</v>
      </c>
    </row>
    <row r="484" spans="3:4" x14ac:dyDescent="0.25">
      <c r="C484" s="76">
        <v>45764</v>
      </c>
      <c r="D484" s="30">
        <v>2</v>
      </c>
    </row>
    <row r="485" spans="3:4" x14ac:dyDescent="0.25">
      <c r="C485" s="77" t="s">
        <v>406</v>
      </c>
      <c r="D485" s="30">
        <v>1</v>
      </c>
    </row>
    <row r="486" spans="3:4" x14ac:dyDescent="0.25">
      <c r="C486" s="77" t="s">
        <v>440</v>
      </c>
      <c r="D486" s="30">
        <v>1</v>
      </c>
    </row>
    <row r="487" spans="3:4" x14ac:dyDescent="0.25">
      <c r="C487" s="76">
        <v>45769</v>
      </c>
      <c r="D487" s="30">
        <v>2</v>
      </c>
    </row>
    <row r="488" spans="3:4" x14ac:dyDescent="0.25">
      <c r="C488" s="77" t="s">
        <v>373</v>
      </c>
      <c r="D488" s="30">
        <v>1</v>
      </c>
    </row>
    <row r="489" spans="3:4" x14ac:dyDescent="0.25">
      <c r="C489" s="77" t="s">
        <v>396</v>
      </c>
      <c r="D489" s="30">
        <v>1</v>
      </c>
    </row>
    <row r="490" spans="3:4" x14ac:dyDescent="0.25">
      <c r="C490" s="76">
        <v>45771</v>
      </c>
      <c r="D490" s="30">
        <v>4</v>
      </c>
    </row>
    <row r="491" spans="3:4" x14ac:dyDescent="0.25">
      <c r="C491" s="77" t="s">
        <v>437</v>
      </c>
      <c r="D491" s="30">
        <v>1</v>
      </c>
    </row>
    <row r="492" spans="3:4" x14ac:dyDescent="0.25">
      <c r="C492" s="77" t="s">
        <v>438</v>
      </c>
      <c r="D492" s="30">
        <v>1</v>
      </c>
    </row>
    <row r="493" spans="3:4" x14ac:dyDescent="0.25">
      <c r="C493" s="77" t="s">
        <v>441</v>
      </c>
      <c r="D493" s="30">
        <v>1</v>
      </c>
    </row>
    <row r="494" spans="3:4" x14ac:dyDescent="0.25">
      <c r="C494" s="77" t="s">
        <v>510</v>
      </c>
      <c r="D494" s="30">
        <v>1</v>
      </c>
    </row>
    <row r="495" spans="3:4" x14ac:dyDescent="0.25">
      <c r="C495" s="76">
        <v>45775</v>
      </c>
      <c r="D495" s="30">
        <v>1</v>
      </c>
    </row>
    <row r="496" spans="3:4" x14ac:dyDescent="0.25">
      <c r="C496" s="77" t="s">
        <v>491</v>
      </c>
      <c r="D496" s="30">
        <v>1</v>
      </c>
    </row>
    <row r="497" spans="3:4" x14ac:dyDescent="0.25">
      <c r="C497" s="76">
        <v>45777</v>
      </c>
      <c r="D497" s="30">
        <v>4</v>
      </c>
    </row>
    <row r="498" spans="3:4" x14ac:dyDescent="0.25">
      <c r="C498" s="77" t="s">
        <v>408</v>
      </c>
      <c r="D498" s="30">
        <v>1</v>
      </c>
    </row>
    <row r="499" spans="3:4" x14ac:dyDescent="0.25">
      <c r="C499" s="77" t="s">
        <v>409</v>
      </c>
      <c r="D499" s="30">
        <v>1</v>
      </c>
    </row>
    <row r="500" spans="3:4" x14ac:dyDescent="0.25">
      <c r="C500" s="77" t="s">
        <v>456</v>
      </c>
      <c r="D500" s="30">
        <v>1</v>
      </c>
    </row>
    <row r="501" spans="3:4" x14ac:dyDescent="0.25">
      <c r="C501" s="77" t="s">
        <v>457</v>
      </c>
      <c r="D501" s="30">
        <v>1</v>
      </c>
    </row>
    <row r="502" spans="3:4" x14ac:dyDescent="0.25">
      <c r="C502" s="73" t="s">
        <v>246</v>
      </c>
      <c r="D502" s="30">
        <v>7</v>
      </c>
    </row>
    <row r="503" spans="3:4" x14ac:dyDescent="0.25">
      <c r="C503" s="46" t="s">
        <v>521</v>
      </c>
      <c r="D503" s="30">
        <v>7</v>
      </c>
    </row>
    <row r="504" spans="3:4" x14ac:dyDescent="0.25">
      <c r="C504" s="59" t="s">
        <v>147</v>
      </c>
      <c r="D504" s="30">
        <v>7</v>
      </c>
    </row>
    <row r="505" spans="3:4" x14ac:dyDescent="0.25">
      <c r="C505" s="76">
        <v>45750</v>
      </c>
      <c r="D505" s="30">
        <v>2</v>
      </c>
    </row>
    <row r="506" spans="3:4" x14ac:dyDescent="0.25">
      <c r="C506" s="77" t="s">
        <v>247</v>
      </c>
      <c r="D506" s="30">
        <v>1</v>
      </c>
    </row>
    <row r="507" spans="3:4" x14ac:dyDescent="0.25">
      <c r="C507" s="77" t="s">
        <v>248</v>
      </c>
      <c r="D507" s="30">
        <v>1</v>
      </c>
    </row>
    <row r="508" spans="3:4" x14ac:dyDescent="0.25">
      <c r="C508" s="76">
        <v>45754</v>
      </c>
      <c r="D508" s="30">
        <v>2</v>
      </c>
    </row>
    <row r="509" spans="3:4" x14ac:dyDescent="0.25">
      <c r="C509" s="77" t="s">
        <v>260</v>
      </c>
      <c r="D509" s="30">
        <v>1</v>
      </c>
    </row>
    <row r="510" spans="3:4" x14ac:dyDescent="0.25">
      <c r="C510" s="77" t="s">
        <v>333</v>
      </c>
      <c r="D510" s="30">
        <v>1</v>
      </c>
    </row>
    <row r="511" spans="3:4" x14ac:dyDescent="0.25">
      <c r="C511" s="76">
        <v>45756</v>
      </c>
      <c r="D511" s="30">
        <v>2</v>
      </c>
    </row>
    <row r="512" spans="3:4" x14ac:dyDescent="0.25">
      <c r="C512" s="77" t="s">
        <v>390</v>
      </c>
      <c r="D512" s="30">
        <v>1</v>
      </c>
    </row>
    <row r="513" spans="3:4" x14ac:dyDescent="0.25">
      <c r="C513" s="77" t="s">
        <v>477</v>
      </c>
      <c r="D513" s="30">
        <v>1</v>
      </c>
    </row>
    <row r="514" spans="3:4" x14ac:dyDescent="0.25">
      <c r="C514" s="76">
        <v>45764</v>
      </c>
      <c r="D514" s="30">
        <v>1</v>
      </c>
    </row>
    <row r="515" spans="3:4" x14ac:dyDescent="0.25">
      <c r="C515" s="77" t="s">
        <v>332</v>
      </c>
      <c r="D515" s="30">
        <v>1</v>
      </c>
    </row>
    <row r="516" spans="3:4" x14ac:dyDescent="0.25">
      <c r="C516" s="73" t="s">
        <v>257</v>
      </c>
      <c r="D516" s="30">
        <v>4</v>
      </c>
    </row>
    <row r="517" spans="3:4" x14ac:dyDescent="0.25">
      <c r="C517" s="46" t="s">
        <v>521</v>
      </c>
      <c r="D517" s="30">
        <v>4</v>
      </c>
    </row>
    <row r="518" spans="3:4" x14ac:dyDescent="0.25">
      <c r="C518" s="59" t="s">
        <v>147</v>
      </c>
      <c r="D518" s="30">
        <v>4</v>
      </c>
    </row>
    <row r="519" spans="3:4" x14ac:dyDescent="0.25">
      <c r="C519" s="76">
        <v>45751</v>
      </c>
      <c r="D519" s="30">
        <v>1</v>
      </c>
    </row>
    <row r="520" spans="3:4" x14ac:dyDescent="0.25">
      <c r="C520" s="77" t="s">
        <v>258</v>
      </c>
      <c r="D520" s="30">
        <v>1</v>
      </c>
    </row>
    <row r="521" spans="3:4" x14ac:dyDescent="0.25">
      <c r="C521" s="76">
        <v>45758</v>
      </c>
      <c r="D521" s="30">
        <v>1</v>
      </c>
    </row>
    <row r="522" spans="3:4" x14ac:dyDescent="0.25">
      <c r="C522" s="77" t="s">
        <v>352</v>
      </c>
      <c r="D522" s="30">
        <v>1</v>
      </c>
    </row>
    <row r="523" spans="3:4" x14ac:dyDescent="0.25">
      <c r="C523" s="76">
        <v>45764</v>
      </c>
      <c r="D523" s="30">
        <v>1</v>
      </c>
    </row>
    <row r="524" spans="3:4" x14ac:dyDescent="0.25">
      <c r="C524" s="77" t="s">
        <v>400</v>
      </c>
      <c r="D524" s="30">
        <v>1</v>
      </c>
    </row>
    <row r="525" spans="3:4" x14ac:dyDescent="0.25">
      <c r="C525" s="76">
        <v>45769</v>
      </c>
      <c r="D525" s="30">
        <v>1</v>
      </c>
    </row>
    <row r="526" spans="3:4" x14ac:dyDescent="0.25">
      <c r="C526" s="77" t="s">
        <v>413</v>
      </c>
      <c r="D526" s="30">
        <v>1</v>
      </c>
    </row>
    <row r="527" spans="3:4" x14ac:dyDescent="0.25">
      <c r="C527" s="73" t="s">
        <v>295</v>
      </c>
      <c r="D527" s="30">
        <v>1</v>
      </c>
    </row>
    <row r="528" spans="3:4" x14ac:dyDescent="0.25">
      <c r="C528" s="46" t="s">
        <v>521</v>
      </c>
      <c r="D528" s="30">
        <v>1</v>
      </c>
    </row>
    <row r="529" spans="3:4" x14ac:dyDescent="0.25">
      <c r="C529" s="59" t="s">
        <v>147</v>
      </c>
      <c r="D529" s="30">
        <v>1</v>
      </c>
    </row>
    <row r="530" spans="3:4" x14ac:dyDescent="0.25">
      <c r="C530" s="76">
        <v>45749</v>
      </c>
      <c r="D530" s="30">
        <v>1</v>
      </c>
    </row>
    <row r="531" spans="3:4" x14ac:dyDescent="0.25">
      <c r="C531" s="77" t="s">
        <v>296</v>
      </c>
      <c r="D531" s="30">
        <v>1</v>
      </c>
    </row>
    <row r="532" spans="3:4" x14ac:dyDescent="0.25">
      <c r="C532" s="73" t="s">
        <v>323</v>
      </c>
      <c r="D532" s="30">
        <v>3</v>
      </c>
    </row>
    <row r="533" spans="3:4" x14ac:dyDescent="0.25">
      <c r="C533" s="46" t="s">
        <v>521</v>
      </c>
      <c r="D533" s="30">
        <v>3</v>
      </c>
    </row>
    <row r="534" spans="3:4" x14ac:dyDescent="0.25">
      <c r="C534" s="59" t="s">
        <v>147</v>
      </c>
      <c r="D534" s="30">
        <v>3</v>
      </c>
    </row>
    <row r="535" spans="3:4" x14ac:dyDescent="0.25">
      <c r="C535" s="76">
        <v>45749</v>
      </c>
      <c r="D535" s="30">
        <v>1</v>
      </c>
    </row>
    <row r="536" spans="3:4" x14ac:dyDescent="0.25">
      <c r="C536" s="77" t="s">
        <v>324</v>
      </c>
      <c r="D536" s="30">
        <v>1</v>
      </c>
    </row>
    <row r="537" spans="3:4" x14ac:dyDescent="0.25">
      <c r="C537" s="76">
        <v>45756</v>
      </c>
      <c r="D537" s="30">
        <v>1</v>
      </c>
    </row>
    <row r="538" spans="3:4" x14ac:dyDescent="0.25">
      <c r="C538" s="77" t="s">
        <v>486</v>
      </c>
      <c r="D538" s="30">
        <v>1</v>
      </c>
    </row>
    <row r="539" spans="3:4" x14ac:dyDescent="0.25">
      <c r="C539" s="76">
        <v>45757</v>
      </c>
      <c r="D539" s="30">
        <v>1</v>
      </c>
    </row>
    <row r="540" spans="3:4" x14ac:dyDescent="0.25">
      <c r="C540" s="77" t="s">
        <v>325</v>
      </c>
      <c r="D540" s="30">
        <v>1</v>
      </c>
    </row>
    <row r="541" spans="3:4" x14ac:dyDescent="0.25">
      <c r="C541" s="73" t="s">
        <v>327</v>
      </c>
      <c r="D541" s="30">
        <v>5</v>
      </c>
    </row>
    <row r="542" spans="3:4" x14ac:dyDescent="0.25">
      <c r="C542" s="46" t="s">
        <v>521</v>
      </c>
      <c r="D542" s="30">
        <v>5</v>
      </c>
    </row>
    <row r="543" spans="3:4" x14ac:dyDescent="0.25">
      <c r="C543" s="59" t="s">
        <v>147</v>
      </c>
      <c r="D543" s="30">
        <v>5</v>
      </c>
    </row>
    <row r="544" spans="3:4" x14ac:dyDescent="0.25">
      <c r="C544" s="76">
        <v>45755</v>
      </c>
      <c r="D544" s="30">
        <v>4</v>
      </c>
    </row>
    <row r="545" spans="3:4" x14ac:dyDescent="0.25">
      <c r="C545" s="77" t="s">
        <v>328</v>
      </c>
      <c r="D545" s="30">
        <v>1</v>
      </c>
    </row>
    <row r="546" spans="3:4" x14ac:dyDescent="0.25">
      <c r="C546" s="77" t="s">
        <v>329</v>
      </c>
      <c r="D546" s="30">
        <v>1</v>
      </c>
    </row>
    <row r="547" spans="3:4" x14ac:dyDescent="0.25">
      <c r="C547" s="77" t="s">
        <v>334</v>
      </c>
      <c r="D547" s="30">
        <v>1</v>
      </c>
    </row>
    <row r="548" spans="3:4" x14ac:dyDescent="0.25">
      <c r="C548" s="77" t="s">
        <v>508</v>
      </c>
      <c r="D548" s="30">
        <v>1</v>
      </c>
    </row>
    <row r="549" spans="3:4" x14ac:dyDescent="0.25">
      <c r="C549" s="76">
        <v>45769</v>
      </c>
      <c r="D549" s="30">
        <v>1</v>
      </c>
    </row>
    <row r="550" spans="3:4" x14ac:dyDescent="0.25">
      <c r="C550" s="77" t="s">
        <v>508</v>
      </c>
      <c r="D550" s="30">
        <v>1</v>
      </c>
    </row>
    <row r="551" spans="3:4" x14ac:dyDescent="0.25">
      <c r="C551" s="73" t="s">
        <v>330</v>
      </c>
      <c r="D551" s="30">
        <v>5</v>
      </c>
    </row>
    <row r="552" spans="3:4" x14ac:dyDescent="0.25">
      <c r="C552" s="46" t="s">
        <v>521</v>
      </c>
      <c r="D552" s="30">
        <v>5</v>
      </c>
    </row>
    <row r="553" spans="3:4" x14ac:dyDescent="0.25">
      <c r="C553" s="59" t="s">
        <v>147</v>
      </c>
      <c r="D553" s="30">
        <v>5</v>
      </c>
    </row>
    <row r="554" spans="3:4" x14ac:dyDescent="0.25">
      <c r="C554" s="76">
        <v>45749</v>
      </c>
      <c r="D554" s="30">
        <v>1</v>
      </c>
    </row>
    <row r="555" spans="3:4" x14ac:dyDescent="0.25">
      <c r="C555" s="77" t="s">
        <v>335</v>
      </c>
      <c r="D555" s="30">
        <v>1</v>
      </c>
    </row>
    <row r="556" spans="3:4" x14ac:dyDescent="0.25">
      <c r="C556" s="76">
        <v>45750</v>
      </c>
      <c r="D556" s="30">
        <v>1</v>
      </c>
    </row>
    <row r="557" spans="3:4" x14ac:dyDescent="0.25">
      <c r="C557" s="77" t="s">
        <v>432</v>
      </c>
      <c r="D557" s="30">
        <v>1</v>
      </c>
    </row>
    <row r="558" spans="3:4" x14ac:dyDescent="0.25">
      <c r="C558" s="76">
        <v>45758</v>
      </c>
      <c r="D558" s="30">
        <v>1</v>
      </c>
    </row>
    <row r="559" spans="3:4" x14ac:dyDescent="0.25">
      <c r="C559" s="77" t="s">
        <v>331</v>
      </c>
      <c r="D559" s="30">
        <v>1</v>
      </c>
    </row>
    <row r="560" spans="3:4" x14ac:dyDescent="0.25">
      <c r="C560" s="76">
        <v>45761</v>
      </c>
      <c r="D560" s="30">
        <v>1</v>
      </c>
    </row>
    <row r="561" spans="3:4" x14ac:dyDescent="0.25">
      <c r="C561" s="77" t="s">
        <v>487</v>
      </c>
      <c r="D561" s="30">
        <v>1</v>
      </c>
    </row>
    <row r="562" spans="3:4" x14ac:dyDescent="0.25">
      <c r="C562" s="76">
        <v>45772</v>
      </c>
      <c r="D562" s="30">
        <v>1</v>
      </c>
    </row>
    <row r="563" spans="3:4" x14ac:dyDescent="0.25">
      <c r="C563" s="77" t="s">
        <v>336</v>
      </c>
      <c r="D563" s="30">
        <v>1</v>
      </c>
    </row>
    <row r="564" spans="3:4" x14ac:dyDescent="0.25">
      <c r="C564" s="73" t="s">
        <v>338</v>
      </c>
      <c r="D564" s="30">
        <v>5</v>
      </c>
    </row>
    <row r="565" spans="3:4" x14ac:dyDescent="0.25">
      <c r="C565" s="46" t="s">
        <v>521</v>
      </c>
      <c r="D565" s="30">
        <v>5</v>
      </c>
    </row>
    <row r="566" spans="3:4" x14ac:dyDescent="0.25">
      <c r="C566" s="59" t="s">
        <v>147</v>
      </c>
      <c r="D566" s="30">
        <v>5</v>
      </c>
    </row>
    <row r="567" spans="3:4" x14ac:dyDescent="0.25">
      <c r="C567" s="76">
        <v>45748</v>
      </c>
      <c r="D567" s="30">
        <v>1</v>
      </c>
    </row>
    <row r="568" spans="3:4" x14ac:dyDescent="0.25">
      <c r="C568" s="77" t="s">
        <v>340</v>
      </c>
      <c r="D568" s="30">
        <v>1</v>
      </c>
    </row>
    <row r="569" spans="3:4" x14ac:dyDescent="0.25">
      <c r="C569" s="76">
        <v>45749</v>
      </c>
      <c r="D569" s="30">
        <v>1</v>
      </c>
    </row>
    <row r="570" spans="3:4" x14ac:dyDescent="0.25">
      <c r="C570" s="77" t="s">
        <v>339</v>
      </c>
      <c r="D570" s="30">
        <v>1</v>
      </c>
    </row>
    <row r="571" spans="3:4" x14ac:dyDescent="0.25">
      <c r="C571" s="76">
        <v>45751</v>
      </c>
      <c r="D571" s="30">
        <v>1</v>
      </c>
    </row>
    <row r="572" spans="3:4" x14ac:dyDescent="0.25">
      <c r="C572" s="77" t="s">
        <v>341</v>
      </c>
      <c r="D572" s="30">
        <v>1</v>
      </c>
    </row>
    <row r="573" spans="3:4" x14ac:dyDescent="0.25">
      <c r="C573" s="76">
        <v>45769</v>
      </c>
      <c r="D573" s="30">
        <v>1</v>
      </c>
    </row>
    <row r="574" spans="3:4" x14ac:dyDescent="0.25">
      <c r="C574" s="77" t="s">
        <v>417</v>
      </c>
      <c r="D574" s="30">
        <v>1</v>
      </c>
    </row>
    <row r="575" spans="3:4" x14ac:dyDescent="0.25">
      <c r="C575" s="76">
        <v>45775</v>
      </c>
      <c r="D575" s="30">
        <v>1</v>
      </c>
    </row>
    <row r="576" spans="3:4" x14ac:dyDescent="0.25">
      <c r="C576" s="77" t="s">
        <v>376</v>
      </c>
      <c r="D576" s="30">
        <v>1</v>
      </c>
    </row>
    <row r="577" spans="3:4" x14ac:dyDescent="0.25">
      <c r="C577" s="73" t="s">
        <v>347</v>
      </c>
      <c r="D577" s="30">
        <v>5</v>
      </c>
    </row>
    <row r="578" spans="3:4" x14ac:dyDescent="0.25">
      <c r="C578" s="46" t="s">
        <v>521</v>
      </c>
      <c r="D578" s="30">
        <v>5</v>
      </c>
    </row>
    <row r="579" spans="3:4" x14ac:dyDescent="0.25">
      <c r="C579" s="59" t="s">
        <v>147</v>
      </c>
      <c r="D579" s="30">
        <v>5</v>
      </c>
    </row>
    <row r="580" spans="3:4" x14ac:dyDescent="0.25">
      <c r="C580" s="76">
        <v>45755</v>
      </c>
      <c r="D580" s="30">
        <v>1</v>
      </c>
    </row>
    <row r="581" spans="3:4" x14ac:dyDescent="0.25">
      <c r="C581" s="77" t="s">
        <v>388</v>
      </c>
      <c r="D581" s="30">
        <v>1</v>
      </c>
    </row>
    <row r="582" spans="3:4" x14ac:dyDescent="0.25">
      <c r="C582" s="76">
        <v>45757</v>
      </c>
      <c r="D582" s="30">
        <v>1</v>
      </c>
    </row>
    <row r="583" spans="3:4" x14ac:dyDescent="0.25">
      <c r="C583" s="77" t="s">
        <v>348</v>
      </c>
      <c r="D583" s="30">
        <v>1</v>
      </c>
    </row>
    <row r="584" spans="3:4" x14ac:dyDescent="0.25">
      <c r="C584" s="76">
        <v>45758</v>
      </c>
      <c r="D584" s="30">
        <v>1</v>
      </c>
    </row>
    <row r="585" spans="3:4" x14ac:dyDescent="0.25">
      <c r="C585" s="77" t="s">
        <v>353</v>
      </c>
      <c r="D585" s="30">
        <v>1</v>
      </c>
    </row>
    <row r="586" spans="3:4" x14ac:dyDescent="0.25">
      <c r="C586" s="76">
        <v>45769</v>
      </c>
      <c r="D586" s="30">
        <v>1</v>
      </c>
    </row>
    <row r="587" spans="3:4" x14ac:dyDescent="0.25">
      <c r="C587" s="77" t="s">
        <v>377</v>
      </c>
      <c r="D587" s="30">
        <v>1</v>
      </c>
    </row>
    <row r="588" spans="3:4" x14ac:dyDescent="0.25">
      <c r="C588" s="76">
        <v>45772</v>
      </c>
      <c r="D588" s="30">
        <v>1</v>
      </c>
    </row>
    <row r="589" spans="3:4" x14ac:dyDescent="0.25">
      <c r="C589" s="77" t="s">
        <v>490</v>
      </c>
      <c r="D589" s="30">
        <v>1</v>
      </c>
    </row>
    <row r="590" spans="3:4" x14ac:dyDescent="0.25">
      <c r="C590" s="73" t="s">
        <v>368</v>
      </c>
      <c r="D590" s="30">
        <v>3</v>
      </c>
    </row>
    <row r="591" spans="3:4" x14ac:dyDescent="0.25">
      <c r="C591" s="46" t="s">
        <v>521</v>
      </c>
      <c r="D591" s="30">
        <v>3</v>
      </c>
    </row>
    <row r="592" spans="3:4" x14ac:dyDescent="0.25">
      <c r="C592" s="59" t="s">
        <v>147</v>
      </c>
      <c r="D592" s="30">
        <v>3</v>
      </c>
    </row>
    <row r="593" spans="3:4" x14ac:dyDescent="0.25">
      <c r="C593" s="76">
        <v>45754</v>
      </c>
      <c r="D593" s="30">
        <v>1</v>
      </c>
    </row>
    <row r="594" spans="3:4" x14ac:dyDescent="0.25">
      <c r="C594" s="77" t="s">
        <v>389</v>
      </c>
      <c r="D594" s="30">
        <v>1</v>
      </c>
    </row>
    <row r="595" spans="3:4" x14ac:dyDescent="0.25">
      <c r="C595" s="76">
        <v>45755</v>
      </c>
      <c r="D595" s="30">
        <v>1</v>
      </c>
    </row>
    <row r="596" spans="3:4" x14ac:dyDescent="0.25">
      <c r="C596" s="77" t="s">
        <v>481</v>
      </c>
      <c r="D596" s="30">
        <v>1</v>
      </c>
    </row>
    <row r="597" spans="3:4" x14ac:dyDescent="0.25">
      <c r="C597" s="76">
        <v>45764</v>
      </c>
      <c r="D597" s="30">
        <v>1</v>
      </c>
    </row>
    <row r="598" spans="3:4" x14ac:dyDescent="0.25">
      <c r="C598" s="77" t="s">
        <v>369</v>
      </c>
      <c r="D598" s="30">
        <v>1</v>
      </c>
    </row>
    <row r="599" spans="3:4" x14ac:dyDescent="0.25">
      <c r="C599" s="73" t="s">
        <v>444</v>
      </c>
      <c r="D599" s="30">
        <v>3</v>
      </c>
    </row>
    <row r="600" spans="3:4" x14ac:dyDescent="0.25">
      <c r="C600" s="46" t="s">
        <v>521</v>
      </c>
      <c r="D600" s="30">
        <v>3</v>
      </c>
    </row>
    <row r="601" spans="3:4" x14ac:dyDescent="0.25">
      <c r="C601" s="59" t="s">
        <v>147</v>
      </c>
      <c r="D601" s="30">
        <v>3</v>
      </c>
    </row>
    <row r="602" spans="3:4" x14ac:dyDescent="0.25">
      <c r="C602" s="76">
        <v>45755</v>
      </c>
      <c r="D602" s="30">
        <v>1</v>
      </c>
    </row>
    <row r="603" spans="3:4" x14ac:dyDescent="0.25">
      <c r="C603" s="77" t="s">
        <v>445</v>
      </c>
      <c r="D603" s="30">
        <v>1</v>
      </c>
    </row>
    <row r="604" spans="3:4" x14ac:dyDescent="0.25">
      <c r="C604" s="76">
        <v>45771</v>
      </c>
      <c r="D604" s="30">
        <v>1</v>
      </c>
    </row>
    <row r="605" spans="3:4" x14ac:dyDescent="0.25">
      <c r="C605" s="77" t="s">
        <v>475</v>
      </c>
      <c r="D605" s="30">
        <v>1</v>
      </c>
    </row>
    <row r="606" spans="3:4" x14ac:dyDescent="0.25">
      <c r="C606" s="76">
        <v>45777</v>
      </c>
      <c r="D606" s="30">
        <v>1</v>
      </c>
    </row>
    <row r="607" spans="3:4" x14ac:dyDescent="0.25">
      <c r="C607" s="77" t="s">
        <v>497</v>
      </c>
      <c r="D607" s="30">
        <v>1</v>
      </c>
    </row>
    <row r="608" spans="3:4" x14ac:dyDescent="0.25">
      <c r="C608" s="73" t="s">
        <v>513</v>
      </c>
      <c r="D608" s="30">
        <v>3</v>
      </c>
    </row>
    <row r="609" spans="3:4" x14ac:dyDescent="0.25">
      <c r="C609" s="46" t="s">
        <v>521</v>
      </c>
      <c r="D609" s="30">
        <v>3</v>
      </c>
    </row>
    <row r="610" spans="3:4" x14ac:dyDescent="0.25">
      <c r="C610" s="59" t="s">
        <v>147</v>
      </c>
      <c r="D610" s="30">
        <v>3</v>
      </c>
    </row>
    <row r="611" spans="3:4" x14ac:dyDescent="0.25">
      <c r="C611" s="76">
        <v>45763</v>
      </c>
      <c r="D611" s="30">
        <v>2</v>
      </c>
    </row>
    <row r="612" spans="3:4" x14ac:dyDescent="0.25">
      <c r="C612" s="77" t="s">
        <v>515</v>
      </c>
      <c r="D612" s="30">
        <v>1</v>
      </c>
    </row>
    <row r="613" spans="3:4" x14ac:dyDescent="0.25">
      <c r="C613" s="77" t="s">
        <v>520</v>
      </c>
      <c r="D613" s="30">
        <v>1</v>
      </c>
    </row>
    <row r="614" spans="3:4" x14ac:dyDescent="0.25">
      <c r="C614" s="76">
        <v>45772</v>
      </c>
      <c r="D614" s="30">
        <v>1</v>
      </c>
    </row>
    <row r="615" spans="3:4" x14ac:dyDescent="0.25">
      <c r="C615" s="77" t="s">
        <v>514</v>
      </c>
      <c r="D615" s="30">
        <v>1</v>
      </c>
    </row>
    <row r="616" spans="3:4" x14ac:dyDescent="0.25">
      <c r="C616" s="29" t="s">
        <v>191</v>
      </c>
      <c r="D616" s="30">
        <v>8</v>
      </c>
    </row>
    <row r="617" spans="3:4" x14ac:dyDescent="0.25">
      <c r="C617" s="73" t="s">
        <v>190</v>
      </c>
      <c r="D617" s="30">
        <v>6</v>
      </c>
    </row>
    <row r="618" spans="3:4" x14ac:dyDescent="0.25">
      <c r="C618" s="46" t="s">
        <v>521</v>
      </c>
      <c r="D618" s="30">
        <v>6</v>
      </c>
    </row>
    <row r="619" spans="3:4" x14ac:dyDescent="0.25">
      <c r="C619" s="59" t="s">
        <v>147</v>
      </c>
      <c r="D619" s="30">
        <v>6</v>
      </c>
    </row>
    <row r="620" spans="3:4" x14ac:dyDescent="0.25">
      <c r="C620" s="76">
        <v>45754</v>
      </c>
      <c r="D620" s="30">
        <v>1</v>
      </c>
    </row>
    <row r="621" spans="3:4" x14ac:dyDescent="0.25">
      <c r="C621" s="77" t="s">
        <v>310</v>
      </c>
      <c r="D621" s="30">
        <v>1</v>
      </c>
    </row>
    <row r="622" spans="3:4" x14ac:dyDescent="0.25">
      <c r="C622" s="76">
        <v>45758</v>
      </c>
      <c r="D622" s="30">
        <v>1</v>
      </c>
    </row>
    <row r="623" spans="3:4" x14ac:dyDescent="0.25">
      <c r="C623" s="77" t="s">
        <v>307</v>
      </c>
      <c r="D623" s="30">
        <v>1</v>
      </c>
    </row>
    <row r="624" spans="3:4" x14ac:dyDescent="0.25">
      <c r="C624" s="76">
        <v>45761</v>
      </c>
      <c r="D624" s="30">
        <v>1</v>
      </c>
    </row>
    <row r="625" spans="3:4" x14ac:dyDescent="0.25">
      <c r="C625" s="77" t="s">
        <v>309</v>
      </c>
      <c r="D625" s="30">
        <v>1</v>
      </c>
    </row>
    <row r="626" spans="3:4" x14ac:dyDescent="0.25">
      <c r="C626" s="76">
        <v>45763</v>
      </c>
      <c r="D626" s="30">
        <v>1</v>
      </c>
    </row>
    <row r="627" spans="3:4" x14ac:dyDescent="0.25">
      <c r="C627" s="77" t="s">
        <v>309</v>
      </c>
      <c r="D627" s="30">
        <v>1</v>
      </c>
    </row>
    <row r="628" spans="3:4" x14ac:dyDescent="0.25">
      <c r="C628" s="76">
        <v>45772</v>
      </c>
      <c r="D628" s="30">
        <v>1</v>
      </c>
    </row>
    <row r="629" spans="3:4" x14ac:dyDescent="0.25">
      <c r="C629" s="77" t="s">
        <v>308</v>
      </c>
      <c r="D629" s="30">
        <v>1</v>
      </c>
    </row>
    <row r="630" spans="3:4" x14ac:dyDescent="0.25">
      <c r="C630" s="76">
        <v>45776</v>
      </c>
      <c r="D630" s="30">
        <v>1</v>
      </c>
    </row>
    <row r="631" spans="3:4" x14ac:dyDescent="0.25">
      <c r="C631" s="77" t="s">
        <v>192</v>
      </c>
      <c r="D631" s="30">
        <v>1</v>
      </c>
    </row>
    <row r="632" spans="3:4" x14ac:dyDescent="0.25">
      <c r="C632" s="73" t="s">
        <v>450</v>
      </c>
      <c r="D632" s="30">
        <v>2</v>
      </c>
    </row>
    <row r="633" spans="3:4" x14ac:dyDescent="0.25">
      <c r="C633" s="46" t="s">
        <v>521</v>
      </c>
      <c r="D633" s="30">
        <v>2</v>
      </c>
    </row>
    <row r="634" spans="3:4" x14ac:dyDescent="0.25">
      <c r="C634" s="59" t="s">
        <v>147</v>
      </c>
      <c r="D634" s="30">
        <v>2</v>
      </c>
    </row>
    <row r="635" spans="3:4" x14ac:dyDescent="0.25">
      <c r="C635" s="76">
        <v>45761</v>
      </c>
      <c r="D635" s="30">
        <v>1</v>
      </c>
    </row>
    <row r="636" spans="3:4" x14ac:dyDescent="0.25">
      <c r="C636" s="77" t="s">
        <v>451</v>
      </c>
      <c r="D636" s="30">
        <v>1</v>
      </c>
    </row>
    <row r="637" spans="3:4" x14ac:dyDescent="0.25">
      <c r="C637" s="76">
        <v>45772</v>
      </c>
      <c r="D637" s="30">
        <v>1</v>
      </c>
    </row>
    <row r="638" spans="3:4" x14ac:dyDescent="0.25">
      <c r="C638" s="77" t="s">
        <v>480</v>
      </c>
      <c r="D638" s="30">
        <v>1</v>
      </c>
    </row>
    <row r="639" spans="3:4" x14ac:dyDescent="0.25">
      <c r="C639" s="29" t="s">
        <v>231</v>
      </c>
      <c r="D639" s="30">
        <v>24</v>
      </c>
    </row>
    <row r="640" spans="3:4" x14ac:dyDescent="0.25">
      <c r="C640" s="73" t="s">
        <v>230</v>
      </c>
      <c r="D640" s="30">
        <v>24</v>
      </c>
    </row>
    <row r="641" spans="3:4" x14ac:dyDescent="0.25">
      <c r="C641" s="46" t="s">
        <v>521</v>
      </c>
      <c r="D641" s="30">
        <v>24</v>
      </c>
    </row>
    <row r="642" spans="3:4" x14ac:dyDescent="0.25">
      <c r="C642" s="59" t="s">
        <v>147</v>
      </c>
      <c r="D642" s="30">
        <v>24</v>
      </c>
    </row>
    <row r="643" spans="3:4" x14ac:dyDescent="0.25">
      <c r="C643" s="76">
        <v>45751</v>
      </c>
      <c r="D643" s="30">
        <v>1</v>
      </c>
    </row>
    <row r="644" spans="3:4" x14ac:dyDescent="0.25">
      <c r="C644" s="77" t="s">
        <v>503</v>
      </c>
      <c r="D644" s="30">
        <v>1</v>
      </c>
    </row>
    <row r="645" spans="3:4" x14ac:dyDescent="0.25">
      <c r="C645" s="76">
        <v>45754</v>
      </c>
      <c r="D645" s="30">
        <v>3</v>
      </c>
    </row>
    <row r="646" spans="3:4" x14ac:dyDescent="0.25">
      <c r="C646" s="77" t="s">
        <v>420</v>
      </c>
      <c r="D646" s="30">
        <v>1</v>
      </c>
    </row>
    <row r="647" spans="3:4" x14ac:dyDescent="0.25">
      <c r="C647" s="77" t="s">
        <v>422</v>
      </c>
      <c r="D647" s="30">
        <v>1</v>
      </c>
    </row>
    <row r="648" spans="3:4" x14ac:dyDescent="0.25">
      <c r="C648" s="77" t="s">
        <v>424</v>
      </c>
      <c r="D648" s="30">
        <v>1</v>
      </c>
    </row>
    <row r="649" spans="3:4" x14ac:dyDescent="0.25">
      <c r="C649" s="76">
        <v>45755</v>
      </c>
      <c r="D649" s="30">
        <v>2</v>
      </c>
    </row>
    <row r="650" spans="3:4" x14ac:dyDescent="0.25">
      <c r="C650" s="77" t="s">
        <v>423</v>
      </c>
      <c r="D650" s="30">
        <v>1</v>
      </c>
    </row>
    <row r="651" spans="3:4" x14ac:dyDescent="0.25">
      <c r="C651" s="77" t="s">
        <v>425</v>
      </c>
      <c r="D651" s="30">
        <v>1</v>
      </c>
    </row>
    <row r="652" spans="3:4" x14ac:dyDescent="0.25">
      <c r="C652" s="76">
        <v>45756</v>
      </c>
      <c r="D652" s="30">
        <v>3</v>
      </c>
    </row>
    <row r="653" spans="3:4" x14ac:dyDescent="0.25">
      <c r="C653" s="77" t="s">
        <v>430</v>
      </c>
      <c r="D653" s="30">
        <v>1</v>
      </c>
    </row>
    <row r="654" spans="3:4" x14ac:dyDescent="0.25">
      <c r="C654" s="77" t="s">
        <v>504</v>
      </c>
      <c r="D654" s="30">
        <v>1</v>
      </c>
    </row>
    <row r="655" spans="3:4" x14ac:dyDescent="0.25">
      <c r="C655" s="77" t="s">
        <v>505</v>
      </c>
      <c r="D655" s="30">
        <v>1</v>
      </c>
    </row>
    <row r="656" spans="3:4" x14ac:dyDescent="0.25">
      <c r="C656" s="76">
        <v>45761</v>
      </c>
      <c r="D656" s="30">
        <v>2</v>
      </c>
    </row>
    <row r="657" spans="3:4" x14ac:dyDescent="0.25">
      <c r="C657" s="77" t="s">
        <v>232</v>
      </c>
      <c r="D657" s="30">
        <v>1</v>
      </c>
    </row>
    <row r="658" spans="3:4" x14ac:dyDescent="0.25">
      <c r="C658" s="77" t="s">
        <v>363</v>
      </c>
      <c r="D658" s="30">
        <v>1</v>
      </c>
    </row>
    <row r="659" spans="3:4" x14ac:dyDescent="0.25">
      <c r="C659" s="76">
        <v>45762</v>
      </c>
      <c r="D659" s="30">
        <v>2</v>
      </c>
    </row>
    <row r="660" spans="3:4" x14ac:dyDescent="0.25">
      <c r="C660" s="77" t="s">
        <v>499</v>
      </c>
      <c r="D660" s="30">
        <v>1</v>
      </c>
    </row>
    <row r="661" spans="3:4" x14ac:dyDescent="0.25">
      <c r="C661" s="77" t="s">
        <v>501</v>
      </c>
      <c r="D661" s="30">
        <v>1</v>
      </c>
    </row>
    <row r="662" spans="3:4" x14ac:dyDescent="0.25">
      <c r="C662" s="76">
        <v>45769</v>
      </c>
      <c r="D662" s="30">
        <v>4</v>
      </c>
    </row>
    <row r="663" spans="3:4" x14ac:dyDescent="0.25">
      <c r="C663" s="77" t="s">
        <v>418</v>
      </c>
      <c r="D663" s="30">
        <v>1</v>
      </c>
    </row>
    <row r="664" spans="3:4" x14ac:dyDescent="0.25">
      <c r="C664" s="77" t="s">
        <v>419</v>
      </c>
      <c r="D664" s="30">
        <v>1</v>
      </c>
    </row>
    <row r="665" spans="3:4" x14ac:dyDescent="0.25">
      <c r="C665" s="77" t="s">
        <v>500</v>
      </c>
      <c r="D665" s="30">
        <v>1</v>
      </c>
    </row>
    <row r="666" spans="3:4" x14ac:dyDescent="0.25">
      <c r="C666" s="77" t="s">
        <v>506</v>
      </c>
      <c r="D666" s="30">
        <v>1</v>
      </c>
    </row>
    <row r="667" spans="3:4" x14ac:dyDescent="0.25">
      <c r="C667" s="76">
        <v>45770</v>
      </c>
      <c r="D667" s="30">
        <v>2</v>
      </c>
    </row>
    <row r="668" spans="3:4" x14ac:dyDescent="0.25">
      <c r="C668" s="77" t="s">
        <v>378</v>
      </c>
      <c r="D668" s="30">
        <v>1</v>
      </c>
    </row>
    <row r="669" spans="3:4" x14ac:dyDescent="0.25">
      <c r="C669" s="77" t="s">
        <v>502</v>
      </c>
      <c r="D669" s="30">
        <v>1</v>
      </c>
    </row>
    <row r="670" spans="3:4" x14ac:dyDescent="0.25">
      <c r="C670" s="76">
        <v>45772</v>
      </c>
      <c r="D670" s="30">
        <v>1</v>
      </c>
    </row>
    <row r="671" spans="3:4" x14ac:dyDescent="0.25">
      <c r="C671" s="77" t="s">
        <v>427</v>
      </c>
      <c r="D671" s="30">
        <v>1</v>
      </c>
    </row>
    <row r="672" spans="3:4" x14ac:dyDescent="0.25">
      <c r="C672" s="76">
        <v>45775</v>
      </c>
      <c r="D672" s="30">
        <v>1</v>
      </c>
    </row>
    <row r="673" spans="3:4" x14ac:dyDescent="0.25">
      <c r="C673" s="77" t="s">
        <v>410</v>
      </c>
      <c r="D673" s="30">
        <v>1</v>
      </c>
    </row>
    <row r="674" spans="3:4" x14ac:dyDescent="0.25">
      <c r="C674" s="76">
        <v>45777</v>
      </c>
      <c r="D674" s="30">
        <v>3</v>
      </c>
    </row>
    <row r="675" spans="3:4" x14ac:dyDescent="0.25">
      <c r="C675" s="77" t="s">
        <v>428</v>
      </c>
      <c r="D675" s="30">
        <v>1</v>
      </c>
    </row>
    <row r="676" spans="3:4" x14ac:dyDescent="0.25">
      <c r="C676" s="77" t="s">
        <v>429</v>
      </c>
      <c r="D676" s="30">
        <v>1</v>
      </c>
    </row>
    <row r="677" spans="3:4" x14ac:dyDescent="0.25">
      <c r="C677" s="77" t="s">
        <v>507</v>
      </c>
      <c r="D677" s="30">
        <v>1</v>
      </c>
    </row>
    <row r="678" spans="3:4" x14ac:dyDescent="0.25">
      <c r="C678" s="29" t="s">
        <v>70</v>
      </c>
      <c r="D678" s="30">
        <v>291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1:D323"/>
  <sheetViews>
    <sheetView workbookViewId="0"/>
  </sheetViews>
  <sheetFormatPr defaultRowHeight="15" x14ac:dyDescent="0.25"/>
  <cols>
    <col min="3" max="3" width="180.28515625" bestFit="1" customWidth="1"/>
    <col min="4" max="4" width="10.140625" bestFit="1" customWidth="1"/>
    <col min="5" max="7" width="11.28515625" customWidth="1"/>
    <col min="8" max="8" width="11.28515625" bestFit="1" customWidth="1"/>
    <col min="9" max="10" width="9" bestFit="1" customWidth="1"/>
    <col min="11" max="11" width="11.28515625" bestFit="1" customWidth="1"/>
    <col min="12" max="12" width="4.140625" bestFit="1" customWidth="1"/>
    <col min="13" max="13" width="8.42578125" bestFit="1" customWidth="1"/>
    <col min="14" max="14" width="6" bestFit="1" customWidth="1"/>
    <col min="15" max="15" width="4.140625" bestFit="1" customWidth="1"/>
    <col min="16" max="17" width="9" bestFit="1" customWidth="1"/>
    <col min="19" max="19" width="7.28515625" bestFit="1" customWidth="1"/>
    <col min="20" max="21" width="12.140625" bestFit="1" customWidth="1"/>
    <col min="22" max="22" width="11.28515625" bestFit="1" customWidth="1"/>
  </cols>
  <sheetData>
    <row r="1" spans="3:4" x14ac:dyDescent="0.25">
      <c r="C1" s="28" t="s">
        <v>105</v>
      </c>
      <c r="D1" t="s">
        <v>68</v>
      </c>
    </row>
    <row r="2" spans="3:4" x14ac:dyDescent="0.25">
      <c r="C2" s="28" t="s">
        <v>25</v>
      </c>
      <c r="D2" t="s">
        <v>68</v>
      </c>
    </row>
    <row r="3" spans="3:4" x14ac:dyDescent="0.25">
      <c r="C3" s="28" t="s">
        <v>5</v>
      </c>
      <c r="D3" t="s">
        <v>68</v>
      </c>
    </row>
    <row r="4" spans="3:4" x14ac:dyDescent="0.25">
      <c r="C4" s="28" t="s">
        <v>6</v>
      </c>
      <c r="D4" t="s">
        <v>68</v>
      </c>
    </row>
    <row r="5" spans="3:4" x14ac:dyDescent="0.25">
      <c r="C5" s="28" t="s">
        <v>7</v>
      </c>
      <c r="D5" t="s">
        <v>68</v>
      </c>
    </row>
    <row r="6" spans="3:4" x14ac:dyDescent="0.25">
      <c r="C6" s="28" t="s">
        <v>18</v>
      </c>
      <c r="D6" t="s">
        <v>68</v>
      </c>
    </row>
    <row r="7" spans="3:4" x14ac:dyDescent="0.25">
      <c r="C7" s="28" t="s">
        <v>49</v>
      </c>
      <c r="D7" t="s">
        <v>68</v>
      </c>
    </row>
    <row r="9" spans="3:4" x14ac:dyDescent="0.25">
      <c r="C9" s="28" t="s">
        <v>69</v>
      </c>
      <c r="D9" t="s">
        <v>33</v>
      </c>
    </row>
    <row r="10" spans="3:4" x14ac:dyDescent="0.25">
      <c r="C10" s="29" t="s">
        <v>521</v>
      </c>
      <c r="D10" s="30">
        <v>291</v>
      </c>
    </row>
    <row r="11" spans="3:4" x14ac:dyDescent="0.25">
      <c r="C11" s="73" t="s">
        <v>147</v>
      </c>
      <c r="D11" s="30">
        <v>291</v>
      </c>
    </row>
    <row r="12" spans="3:4" x14ac:dyDescent="0.25">
      <c r="C12" s="74">
        <v>45748</v>
      </c>
      <c r="D12" s="30">
        <v>18</v>
      </c>
    </row>
    <row r="13" spans="3:4" x14ac:dyDescent="0.25">
      <c r="C13" s="59" t="s">
        <v>159</v>
      </c>
      <c r="D13" s="30">
        <v>1</v>
      </c>
    </row>
    <row r="14" spans="3:4" x14ac:dyDescent="0.25">
      <c r="C14" s="59" t="s">
        <v>195</v>
      </c>
      <c r="D14" s="30">
        <v>1</v>
      </c>
    </row>
    <row r="15" spans="3:4" x14ac:dyDescent="0.25">
      <c r="C15" s="59" t="s">
        <v>216</v>
      </c>
      <c r="D15" s="30">
        <v>1</v>
      </c>
    </row>
    <row r="16" spans="3:4" x14ac:dyDescent="0.25">
      <c r="C16" s="59" t="s">
        <v>298</v>
      </c>
      <c r="D16" s="30">
        <v>1</v>
      </c>
    </row>
    <row r="17" spans="3:4" x14ac:dyDescent="0.25">
      <c r="C17" s="59" t="s">
        <v>305</v>
      </c>
      <c r="D17" s="30">
        <v>1</v>
      </c>
    </row>
    <row r="18" spans="3:4" x14ac:dyDescent="0.25">
      <c r="C18" s="59" t="s">
        <v>311</v>
      </c>
      <c r="D18" s="30">
        <v>1</v>
      </c>
    </row>
    <row r="19" spans="3:4" x14ac:dyDescent="0.25">
      <c r="C19" s="59" t="s">
        <v>312</v>
      </c>
      <c r="D19" s="30">
        <v>1</v>
      </c>
    </row>
    <row r="20" spans="3:4" x14ac:dyDescent="0.25">
      <c r="C20" s="59" t="s">
        <v>340</v>
      </c>
      <c r="D20" s="30">
        <v>1</v>
      </c>
    </row>
    <row r="21" spans="3:4" x14ac:dyDescent="0.25">
      <c r="C21" s="59" t="s">
        <v>344</v>
      </c>
      <c r="D21" s="30">
        <v>1</v>
      </c>
    </row>
    <row r="22" spans="3:4" x14ac:dyDescent="0.25">
      <c r="C22" s="59" t="s">
        <v>401</v>
      </c>
      <c r="D22" s="30">
        <v>1</v>
      </c>
    </row>
    <row r="23" spans="3:4" x14ac:dyDescent="0.25">
      <c r="C23" s="59" t="s">
        <v>404</v>
      </c>
      <c r="D23" s="30">
        <v>1</v>
      </c>
    </row>
    <row r="24" spans="3:4" x14ac:dyDescent="0.25">
      <c r="C24" s="59" t="s">
        <v>405</v>
      </c>
      <c r="D24" s="30">
        <v>1</v>
      </c>
    </row>
    <row r="25" spans="3:4" x14ac:dyDescent="0.25">
      <c r="C25" s="59" t="s">
        <v>407</v>
      </c>
      <c r="D25" s="30">
        <v>1</v>
      </c>
    </row>
    <row r="26" spans="3:4" x14ac:dyDescent="0.25">
      <c r="C26" s="59" t="s">
        <v>454</v>
      </c>
      <c r="D26" s="30">
        <v>1</v>
      </c>
    </row>
    <row r="27" spans="3:4" x14ac:dyDescent="0.25">
      <c r="C27" s="59" t="s">
        <v>466</v>
      </c>
      <c r="D27" s="30">
        <v>1</v>
      </c>
    </row>
    <row r="28" spans="3:4" x14ac:dyDescent="0.25">
      <c r="C28" s="59" t="s">
        <v>476</v>
      </c>
      <c r="D28" s="30">
        <v>1</v>
      </c>
    </row>
    <row r="29" spans="3:4" x14ac:dyDescent="0.25">
      <c r="C29" s="59" t="s">
        <v>485</v>
      </c>
      <c r="D29" s="30">
        <v>1</v>
      </c>
    </row>
    <row r="30" spans="3:4" x14ac:dyDescent="0.25">
      <c r="C30" s="59" t="s">
        <v>516</v>
      </c>
      <c r="D30" s="30">
        <v>1</v>
      </c>
    </row>
    <row r="31" spans="3:4" x14ac:dyDescent="0.25">
      <c r="C31" s="74">
        <v>45749</v>
      </c>
      <c r="D31" s="30">
        <v>16</v>
      </c>
    </row>
    <row r="32" spans="3:4" x14ac:dyDescent="0.25">
      <c r="C32" s="59" t="s">
        <v>197</v>
      </c>
      <c r="D32" s="30">
        <v>1</v>
      </c>
    </row>
    <row r="33" spans="3:4" x14ac:dyDescent="0.25">
      <c r="C33" s="59" t="s">
        <v>235</v>
      </c>
      <c r="D33" s="30">
        <v>1</v>
      </c>
    </row>
    <row r="34" spans="3:4" x14ac:dyDescent="0.25">
      <c r="C34" s="59" t="s">
        <v>278</v>
      </c>
      <c r="D34" s="30">
        <v>1</v>
      </c>
    </row>
    <row r="35" spans="3:4" x14ac:dyDescent="0.25">
      <c r="C35" s="59" t="s">
        <v>296</v>
      </c>
      <c r="D35" s="30">
        <v>1</v>
      </c>
    </row>
    <row r="36" spans="3:4" x14ac:dyDescent="0.25">
      <c r="C36" s="59" t="s">
        <v>306</v>
      </c>
      <c r="D36" s="30">
        <v>1</v>
      </c>
    </row>
    <row r="37" spans="3:4" x14ac:dyDescent="0.25">
      <c r="C37" s="59" t="s">
        <v>324</v>
      </c>
      <c r="D37" s="30">
        <v>1</v>
      </c>
    </row>
    <row r="38" spans="3:4" x14ac:dyDescent="0.25">
      <c r="C38" s="59" t="s">
        <v>335</v>
      </c>
      <c r="D38" s="30">
        <v>1</v>
      </c>
    </row>
    <row r="39" spans="3:4" x14ac:dyDescent="0.25">
      <c r="C39" s="59" t="s">
        <v>339</v>
      </c>
      <c r="D39" s="30">
        <v>1</v>
      </c>
    </row>
    <row r="40" spans="3:4" x14ac:dyDescent="0.25">
      <c r="C40" s="59" t="s">
        <v>393</v>
      </c>
      <c r="D40" s="30">
        <v>1</v>
      </c>
    </row>
    <row r="41" spans="3:4" x14ac:dyDescent="0.25">
      <c r="C41" s="59" t="s">
        <v>398</v>
      </c>
      <c r="D41" s="30">
        <v>1</v>
      </c>
    </row>
    <row r="42" spans="3:4" x14ac:dyDescent="0.25">
      <c r="C42" s="59" t="s">
        <v>411</v>
      </c>
      <c r="D42" s="30">
        <v>1</v>
      </c>
    </row>
    <row r="43" spans="3:4" x14ac:dyDescent="0.25">
      <c r="C43" s="59" t="s">
        <v>453</v>
      </c>
      <c r="D43" s="30">
        <v>1</v>
      </c>
    </row>
    <row r="44" spans="3:4" x14ac:dyDescent="0.25">
      <c r="C44" s="59" t="s">
        <v>465</v>
      </c>
      <c r="D44" s="30">
        <v>1</v>
      </c>
    </row>
    <row r="45" spans="3:4" x14ac:dyDescent="0.25">
      <c r="C45" s="59" t="s">
        <v>517</v>
      </c>
      <c r="D45" s="30">
        <v>1</v>
      </c>
    </row>
    <row r="46" spans="3:4" x14ac:dyDescent="0.25">
      <c r="C46" s="59" t="s">
        <v>518</v>
      </c>
      <c r="D46" s="30">
        <v>1</v>
      </c>
    </row>
    <row r="47" spans="3:4" x14ac:dyDescent="0.25">
      <c r="C47" s="59" t="s">
        <v>519</v>
      </c>
      <c r="D47" s="30">
        <v>1</v>
      </c>
    </row>
    <row r="48" spans="3:4" x14ac:dyDescent="0.25">
      <c r="C48" s="74">
        <v>45750</v>
      </c>
      <c r="D48" s="30">
        <v>16</v>
      </c>
    </row>
    <row r="49" spans="3:4" x14ac:dyDescent="0.25">
      <c r="C49" s="59" t="s">
        <v>244</v>
      </c>
      <c r="D49" s="30">
        <v>1</v>
      </c>
    </row>
    <row r="50" spans="3:4" x14ac:dyDescent="0.25">
      <c r="C50" s="59" t="s">
        <v>245</v>
      </c>
      <c r="D50" s="30">
        <v>1</v>
      </c>
    </row>
    <row r="51" spans="3:4" x14ac:dyDescent="0.25">
      <c r="C51" s="59" t="s">
        <v>247</v>
      </c>
      <c r="D51" s="30">
        <v>1</v>
      </c>
    </row>
    <row r="52" spans="3:4" x14ac:dyDescent="0.25">
      <c r="C52" s="59" t="s">
        <v>248</v>
      </c>
      <c r="D52" s="30">
        <v>1</v>
      </c>
    </row>
    <row r="53" spans="3:4" x14ac:dyDescent="0.25">
      <c r="C53" s="59" t="s">
        <v>256</v>
      </c>
      <c r="D53" s="30">
        <v>1</v>
      </c>
    </row>
    <row r="54" spans="3:4" x14ac:dyDescent="0.25">
      <c r="C54" s="59" t="s">
        <v>262</v>
      </c>
      <c r="D54" s="30">
        <v>1</v>
      </c>
    </row>
    <row r="55" spans="3:4" x14ac:dyDescent="0.25">
      <c r="C55" s="59" t="s">
        <v>286</v>
      </c>
      <c r="D55" s="30">
        <v>1</v>
      </c>
    </row>
    <row r="56" spans="3:4" x14ac:dyDescent="0.25">
      <c r="C56" s="59" t="s">
        <v>322</v>
      </c>
      <c r="D56" s="30">
        <v>1</v>
      </c>
    </row>
    <row r="57" spans="3:4" x14ac:dyDescent="0.25">
      <c r="C57" s="59" t="s">
        <v>326</v>
      </c>
      <c r="D57" s="30">
        <v>1</v>
      </c>
    </row>
    <row r="58" spans="3:4" x14ac:dyDescent="0.25">
      <c r="C58" s="59" t="s">
        <v>384</v>
      </c>
      <c r="D58" s="30">
        <v>1</v>
      </c>
    </row>
    <row r="59" spans="3:4" x14ac:dyDescent="0.25">
      <c r="C59" s="59" t="s">
        <v>392</v>
      </c>
      <c r="D59" s="30">
        <v>1</v>
      </c>
    </row>
    <row r="60" spans="3:4" x14ac:dyDescent="0.25">
      <c r="C60" s="59" t="s">
        <v>412</v>
      </c>
      <c r="D60" s="30">
        <v>1</v>
      </c>
    </row>
    <row r="61" spans="3:4" x14ac:dyDescent="0.25">
      <c r="C61" s="59" t="s">
        <v>432</v>
      </c>
      <c r="D61" s="30">
        <v>1</v>
      </c>
    </row>
    <row r="62" spans="3:4" x14ac:dyDescent="0.25">
      <c r="C62" s="59" t="s">
        <v>443</v>
      </c>
      <c r="D62" s="30">
        <v>1</v>
      </c>
    </row>
    <row r="63" spans="3:4" x14ac:dyDescent="0.25">
      <c r="C63" s="59" t="s">
        <v>452</v>
      </c>
      <c r="D63" s="30">
        <v>1</v>
      </c>
    </row>
    <row r="64" spans="3:4" x14ac:dyDescent="0.25">
      <c r="C64" s="59" t="s">
        <v>458</v>
      </c>
      <c r="D64" s="30">
        <v>1</v>
      </c>
    </row>
    <row r="65" spans="3:4" x14ac:dyDescent="0.25">
      <c r="C65" s="74">
        <v>45751</v>
      </c>
      <c r="D65" s="30">
        <v>15</v>
      </c>
    </row>
    <row r="66" spans="3:4" x14ac:dyDescent="0.25">
      <c r="C66" s="59" t="s">
        <v>168</v>
      </c>
      <c r="D66" s="30">
        <v>1</v>
      </c>
    </row>
    <row r="67" spans="3:4" x14ac:dyDescent="0.25">
      <c r="C67" s="59" t="s">
        <v>218</v>
      </c>
      <c r="D67" s="30">
        <v>1</v>
      </c>
    </row>
    <row r="68" spans="3:4" x14ac:dyDescent="0.25">
      <c r="C68" s="59" t="s">
        <v>258</v>
      </c>
      <c r="D68" s="30">
        <v>1</v>
      </c>
    </row>
    <row r="69" spans="3:4" x14ac:dyDescent="0.25">
      <c r="C69" s="59" t="s">
        <v>259</v>
      </c>
      <c r="D69" s="30">
        <v>1</v>
      </c>
    </row>
    <row r="70" spans="3:4" x14ac:dyDescent="0.25">
      <c r="C70" s="59" t="s">
        <v>283</v>
      </c>
      <c r="D70" s="30">
        <v>1</v>
      </c>
    </row>
    <row r="71" spans="3:4" x14ac:dyDescent="0.25">
      <c r="C71" s="59" t="s">
        <v>315</v>
      </c>
      <c r="D71" s="30">
        <v>1</v>
      </c>
    </row>
    <row r="72" spans="3:4" x14ac:dyDescent="0.25">
      <c r="C72" s="59" t="s">
        <v>341</v>
      </c>
      <c r="D72" s="30">
        <v>1</v>
      </c>
    </row>
    <row r="73" spans="3:4" x14ac:dyDescent="0.25">
      <c r="C73" s="59" t="s">
        <v>442</v>
      </c>
      <c r="D73" s="30">
        <v>1</v>
      </c>
    </row>
    <row r="74" spans="3:4" x14ac:dyDescent="0.25">
      <c r="C74" s="59" t="s">
        <v>449</v>
      </c>
      <c r="D74" s="30">
        <v>1</v>
      </c>
    </row>
    <row r="75" spans="3:4" x14ac:dyDescent="0.25">
      <c r="C75" s="59" t="s">
        <v>471</v>
      </c>
      <c r="D75" s="30">
        <v>1</v>
      </c>
    </row>
    <row r="76" spans="3:4" x14ac:dyDescent="0.25">
      <c r="C76" s="59" t="s">
        <v>483</v>
      </c>
      <c r="D76" s="30">
        <v>1</v>
      </c>
    </row>
    <row r="77" spans="3:4" x14ac:dyDescent="0.25">
      <c r="C77" s="59" t="s">
        <v>484</v>
      </c>
      <c r="D77" s="30">
        <v>1</v>
      </c>
    </row>
    <row r="78" spans="3:4" x14ac:dyDescent="0.25">
      <c r="C78" s="59" t="s">
        <v>494</v>
      </c>
      <c r="D78" s="30">
        <v>1</v>
      </c>
    </row>
    <row r="79" spans="3:4" x14ac:dyDescent="0.25">
      <c r="C79" s="59" t="s">
        <v>503</v>
      </c>
      <c r="D79" s="30">
        <v>1</v>
      </c>
    </row>
    <row r="80" spans="3:4" x14ac:dyDescent="0.25">
      <c r="C80" s="59" t="s">
        <v>509</v>
      </c>
      <c r="D80" s="30">
        <v>1</v>
      </c>
    </row>
    <row r="81" spans="3:4" x14ac:dyDescent="0.25">
      <c r="C81" s="74">
        <v>45754</v>
      </c>
      <c r="D81" s="30">
        <v>23</v>
      </c>
    </row>
    <row r="82" spans="3:4" x14ac:dyDescent="0.25">
      <c r="C82" s="59" t="s">
        <v>169</v>
      </c>
      <c r="D82" s="30">
        <v>1</v>
      </c>
    </row>
    <row r="83" spans="3:4" x14ac:dyDescent="0.25">
      <c r="C83" s="59" t="s">
        <v>170</v>
      </c>
      <c r="D83" s="30">
        <v>1</v>
      </c>
    </row>
    <row r="84" spans="3:4" x14ac:dyDescent="0.25">
      <c r="C84" s="59" t="s">
        <v>182</v>
      </c>
      <c r="D84" s="30">
        <v>1</v>
      </c>
    </row>
    <row r="85" spans="3:4" x14ac:dyDescent="0.25">
      <c r="C85" s="59" t="s">
        <v>184</v>
      </c>
      <c r="D85" s="30">
        <v>1</v>
      </c>
    </row>
    <row r="86" spans="3:4" x14ac:dyDescent="0.25">
      <c r="C86" s="59" t="s">
        <v>201</v>
      </c>
      <c r="D86" s="30">
        <v>1</v>
      </c>
    </row>
    <row r="87" spans="3:4" x14ac:dyDescent="0.25">
      <c r="C87" s="59" t="s">
        <v>202</v>
      </c>
      <c r="D87" s="30">
        <v>1</v>
      </c>
    </row>
    <row r="88" spans="3:4" x14ac:dyDescent="0.25">
      <c r="C88" s="59" t="s">
        <v>260</v>
      </c>
      <c r="D88" s="30">
        <v>1</v>
      </c>
    </row>
    <row r="89" spans="3:4" x14ac:dyDescent="0.25">
      <c r="C89" s="59" t="s">
        <v>264</v>
      </c>
      <c r="D89" s="30">
        <v>1</v>
      </c>
    </row>
    <row r="90" spans="3:4" x14ac:dyDescent="0.25">
      <c r="C90" s="59" t="s">
        <v>265</v>
      </c>
      <c r="D90" s="30">
        <v>1</v>
      </c>
    </row>
    <row r="91" spans="3:4" x14ac:dyDescent="0.25">
      <c r="C91" s="59" t="s">
        <v>266</v>
      </c>
      <c r="D91" s="30">
        <v>1</v>
      </c>
    </row>
    <row r="92" spans="3:4" x14ac:dyDescent="0.25">
      <c r="C92" s="59" t="s">
        <v>281</v>
      </c>
      <c r="D92" s="30">
        <v>1</v>
      </c>
    </row>
    <row r="93" spans="3:4" x14ac:dyDescent="0.25">
      <c r="C93" s="59" t="s">
        <v>310</v>
      </c>
      <c r="D93" s="30">
        <v>1</v>
      </c>
    </row>
    <row r="94" spans="3:4" x14ac:dyDescent="0.25">
      <c r="C94" s="59" t="s">
        <v>333</v>
      </c>
      <c r="D94" s="30">
        <v>1</v>
      </c>
    </row>
    <row r="95" spans="3:4" x14ac:dyDescent="0.25">
      <c r="C95" s="59" t="s">
        <v>345</v>
      </c>
      <c r="D95" s="30">
        <v>1</v>
      </c>
    </row>
    <row r="96" spans="3:4" x14ac:dyDescent="0.25">
      <c r="C96" s="59" t="s">
        <v>385</v>
      </c>
      <c r="D96" s="30">
        <v>1</v>
      </c>
    </row>
    <row r="97" spans="3:4" x14ac:dyDescent="0.25">
      <c r="C97" s="59" t="s">
        <v>386</v>
      </c>
      <c r="D97" s="30">
        <v>1</v>
      </c>
    </row>
    <row r="98" spans="3:4" x14ac:dyDescent="0.25">
      <c r="C98" s="59" t="s">
        <v>387</v>
      </c>
      <c r="D98" s="30">
        <v>1</v>
      </c>
    </row>
    <row r="99" spans="3:4" x14ac:dyDescent="0.25">
      <c r="C99" s="59" t="s">
        <v>389</v>
      </c>
      <c r="D99" s="30">
        <v>1</v>
      </c>
    </row>
    <row r="100" spans="3:4" x14ac:dyDescent="0.25">
      <c r="C100" s="59" t="s">
        <v>402</v>
      </c>
      <c r="D100" s="30">
        <v>1</v>
      </c>
    </row>
    <row r="101" spans="3:4" x14ac:dyDescent="0.25">
      <c r="C101" s="59" t="s">
        <v>414</v>
      </c>
      <c r="D101" s="30">
        <v>1</v>
      </c>
    </row>
    <row r="102" spans="3:4" x14ac:dyDescent="0.25">
      <c r="C102" s="59" t="s">
        <v>420</v>
      </c>
      <c r="D102" s="30">
        <v>1</v>
      </c>
    </row>
    <row r="103" spans="3:4" x14ac:dyDescent="0.25">
      <c r="C103" s="59" t="s">
        <v>422</v>
      </c>
      <c r="D103" s="30">
        <v>1</v>
      </c>
    </row>
    <row r="104" spans="3:4" x14ac:dyDescent="0.25">
      <c r="C104" s="59" t="s">
        <v>424</v>
      </c>
      <c r="D104" s="30">
        <v>1</v>
      </c>
    </row>
    <row r="105" spans="3:4" x14ac:dyDescent="0.25">
      <c r="C105" s="74">
        <v>45755</v>
      </c>
      <c r="D105" s="30">
        <v>15</v>
      </c>
    </row>
    <row r="106" spans="3:4" x14ac:dyDescent="0.25">
      <c r="C106" s="59" t="s">
        <v>268</v>
      </c>
      <c r="D106" s="30">
        <v>1</v>
      </c>
    </row>
    <row r="107" spans="3:4" x14ac:dyDescent="0.25">
      <c r="C107" s="59" t="s">
        <v>269</v>
      </c>
      <c r="D107" s="30">
        <v>1</v>
      </c>
    </row>
    <row r="108" spans="3:4" x14ac:dyDescent="0.25">
      <c r="C108" s="59" t="s">
        <v>271</v>
      </c>
      <c r="D108" s="30">
        <v>1</v>
      </c>
    </row>
    <row r="109" spans="3:4" x14ac:dyDescent="0.25">
      <c r="C109" s="59" t="s">
        <v>328</v>
      </c>
      <c r="D109" s="30">
        <v>1</v>
      </c>
    </row>
    <row r="110" spans="3:4" x14ac:dyDescent="0.25">
      <c r="C110" s="59" t="s">
        <v>329</v>
      </c>
      <c r="D110" s="30">
        <v>1</v>
      </c>
    </row>
    <row r="111" spans="3:4" x14ac:dyDescent="0.25">
      <c r="C111" s="59" t="s">
        <v>334</v>
      </c>
      <c r="D111" s="30">
        <v>1</v>
      </c>
    </row>
    <row r="112" spans="3:4" x14ac:dyDescent="0.25">
      <c r="C112" s="59" t="s">
        <v>388</v>
      </c>
      <c r="D112" s="30">
        <v>1</v>
      </c>
    </row>
    <row r="113" spans="3:4" x14ac:dyDescent="0.25">
      <c r="C113" s="59" t="s">
        <v>423</v>
      </c>
      <c r="D113" s="30">
        <v>1</v>
      </c>
    </row>
    <row r="114" spans="3:4" x14ac:dyDescent="0.25">
      <c r="C114" s="59" t="s">
        <v>425</v>
      </c>
      <c r="D114" s="30">
        <v>1</v>
      </c>
    </row>
    <row r="115" spans="3:4" x14ac:dyDescent="0.25">
      <c r="C115" s="59" t="s">
        <v>434</v>
      </c>
      <c r="D115" s="30">
        <v>1</v>
      </c>
    </row>
    <row r="116" spans="3:4" x14ac:dyDescent="0.25">
      <c r="C116" s="59" t="s">
        <v>445</v>
      </c>
      <c r="D116" s="30">
        <v>1</v>
      </c>
    </row>
    <row r="117" spans="3:4" x14ac:dyDescent="0.25">
      <c r="C117" s="59" t="s">
        <v>470</v>
      </c>
      <c r="D117" s="30">
        <v>1</v>
      </c>
    </row>
    <row r="118" spans="3:4" x14ac:dyDescent="0.25">
      <c r="C118" s="59" t="s">
        <v>481</v>
      </c>
      <c r="D118" s="30">
        <v>1</v>
      </c>
    </row>
    <row r="119" spans="3:4" x14ac:dyDescent="0.25">
      <c r="C119" s="59" t="s">
        <v>492</v>
      </c>
      <c r="D119" s="30">
        <v>1</v>
      </c>
    </row>
    <row r="120" spans="3:4" x14ac:dyDescent="0.25">
      <c r="C120" s="59" t="s">
        <v>508</v>
      </c>
      <c r="D120" s="30">
        <v>1</v>
      </c>
    </row>
    <row r="121" spans="3:4" x14ac:dyDescent="0.25">
      <c r="C121" s="74">
        <v>45756</v>
      </c>
      <c r="D121" s="30">
        <v>16</v>
      </c>
    </row>
    <row r="122" spans="3:4" x14ac:dyDescent="0.25">
      <c r="C122" s="59" t="s">
        <v>150</v>
      </c>
      <c r="D122" s="30">
        <v>1</v>
      </c>
    </row>
    <row r="123" spans="3:4" x14ac:dyDescent="0.25">
      <c r="C123" s="59" t="s">
        <v>171</v>
      </c>
      <c r="D123" s="30">
        <v>1</v>
      </c>
    </row>
    <row r="124" spans="3:4" x14ac:dyDescent="0.25">
      <c r="C124" s="59" t="s">
        <v>188</v>
      </c>
      <c r="D124" s="30">
        <v>1</v>
      </c>
    </row>
    <row r="125" spans="3:4" x14ac:dyDescent="0.25">
      <c r="C125" s="59" t="s">
        <v>267</v>
      </c>
      <c r="D125" s="30">
        <v>1</v>
      </c>
    </row>
    <row r="126" spans="3:4" x14ac:dyDescent="0.25">
      <c r="C126" s="59" t="s">
        <v>272</v>
      </c>
      <c r="D126" s="30">
        <v>1</v>
      </c>
    </row>
    <row r="127" spans="3:4" x14ac:dyDescent="0.25">
      <c r="C127" s="59" t="s">
        <v>349</v>
      </c>
      <c r="D127" s="30">
        <v>1</v>
      </c>
    </row>
    <row r="128" spans="3:4" x14ac:dyDescent="0.25">
      <c r="C128" s="59" t="s">
        <v>390</v>
      </c>
      <c r="D128" s="30">
        <v>1</v>
      </c>
    </row>
    <row r="129" spans="3:4" x14ac:dyDescent="0.25">
      <c r="C129" s="59" t="s">
        <v>391</v>
      </c>
      <c r="D129" s="30">
        <v>1</v>
      </c>
    </row>
    <row r="130" spans="3:4" x14ac:dyDescent="0.25">
      <c r="C130" s="59" t="s">
        <v>415</v>
      </c>
      <c r="D130" s="30">
        <v>1</v>
      </c>
    </row>
    <row r="131" spans="3:4" x14ac:dyDescent="0.25">
      <c r="C131" s="59" t="s">
        <v>430</v>
      </c>
      <c r="D131" s="30">
        <v>1</v>
      </c>
    </row>
    <row r="132" spans="3:4" x14ac:dyDescent="0.25">
      <c r="C132" s="59" t="s">
        <v>433</v>
      </c>
      <c r="D132" s="30">
        <v>1</v>
      </c>
    </row>
    <row r="133" spans="3:4" x14ac:dyDescent="0.25">
      <c r="C133" s="59" t="s">
        <v>477</v>
      </c>
      <c r="D133" s="30">
        <v>1</v>
      </c>
    </row>
    <row r="134" spans="3:4" x14ac:dyDescent="0.25">
      <c r="C134" s="59" t="s">
        <v>482</v>
      </c>
      <c r="D134" s="30">
        <v>1</v>
      </c>
    </row>
    <row r="135" spans="3:4" x14ac:dyDescent="0.25">
      <c r="C135" s="59" t="s">
        <v>486</v>
      </c>
      <c r="D135" s="30">
        <v>1</v>
      </c>
    </row>
    <row r="136" spans="3:4" x14ac:dyDescent="0.25">
      <c r="C136" s="59" t="s">
        <v>504</v>
      </c>
      <c r="D136" s="30">
        <v>1</v>
      </c>
    </row>
    <row r="137" spans="3:4" x14ac:dyDescent="0.25">
      <c r="C137" s="59" t="s">
        <v>505</v>
      </c>
      <c r="D137" s="30">
        <v>1</v>
      </c>
    </row>
    <row r="138" spans="3:4" x14ac:dyDescent="0.25">
      <c r="C138" s="74">
        <v>45757</v>
      </c>
      <c r="D138" s="30">
        <v>11</v>
      </c>
    </row>
    <row r="139" spans="3:4" x14ac:dyDescent="0.25">
      <c r="C139" s="59" t="s">
        <v>152</v>
      </c>
      <c r="D139" s="30">
        <v>1</v>
      </c>
    </row>
    <row r="140" spans="3:4" x14ac:dyDescent="0.25">
      <c r="C140" s="59" t="s">
        <v>219</v>
      </c>
      <c r="D140" s="30">
        <v>1</v>
      </c>
    </row>
    <row r="141" spans="3:4" x14ac:dyDescent="0.25">
      <c r="C141" s="59" t="s">
        <v>280</v>
      </c>
      <c r="D141" s="30">
        <v>1</v>
      </c>
    </row>
    <row r="142" spans="3:4" x14ac:dyDescent="0.25">
      <c r="C142" s="59" t="s">
        <v>282</v>
      </c>
      <c r="D142" s="30">
        <v>1</v>
      </c>
    </row>
    <row r="143" spans="3:4" x14ac:dyDescent="0.25">
      <c r="C143" s="59" t="s">
        <v>325</v>
      </c>
      <c r="D143" s="30">
        <v>1</v>
      </c>
    </row>
    <row r="144" spans="3:4" x14ac:dyDescent="0.25">
      <c r="C144" s="59" t="s">
        <v>348</v>
      </c>
      <c r="D144" s="30">
        <v>1</v>
      </c>
    </row>
    <row r="145" spans="3:4" x14ac:dyDescent="0.25">
      <c r="C145" s="59" t="s">
        <v>351</v>
      </c>
      <c r="D145" s="30">
        <v>1</v>
      </c>
    </row>
    <row r="146" spans="3:4" x14ac:dyDescent="0.25">
      <c r="C146" s="59" t="s">
        <v>355</v>
      </c>
      <c r="D146" s="30">
        <v>1</v>
      </c>
    </row>
    <row r="147" spans="3:4" x14ac:dyDescent="0.25">
      <c r="C147" s="59" t="s">
        <v>356</v>
      </c>
      <c r="D147" s="30">
        <v>1</v>
      </c>
    </row>
    <row r="148" spans="3:4" x14ac:dyDescent="0.25">
      <c r="C148" s="59" t="s">
        <v>446</v>
      </c>
      <c r="D148" s="30">
        <v>1</v>
      </c>
    </row>
    <row r="149" spans="3:4" x14ac:dyDescent="0.25">
      <c r="C149" s="59" t="s">
        <v>461</v>
      </c>
      <c r="D149" s="30">
        <v>1</v>
      </c>
    </row>
    <row r="150" spans="3:4" x14ac:dyDescent="0.25">
      <c r="C150" s="74">
        <v>45758</v>
      </c>
      <c r="D150" s="30">
        <v>20</v>
      </c>
    </row>
    <row r="151" spans="3:4" x14ac:dyDescent="0.25">
      <c r="C151" s="59" t="s">
        <v>152</v>
      </c>
      <c r="D151" s="30">
        <v>1</v>
      </c>
    </row>
    <row r="152" spans="3:4" x14ac:dyDescent="0.25">
      <c r="C152" s="59" t="s">
        <v>185</v>
      </c>
      <c r="D152" s="30">
        <v>1</v>
      </c>
    </row>
    <row r="153" spans="3:4" x14ac:dyDescent="0.25">
      <c r="C153" s="59" t="s">
        <v>204</v>
      </c>
      <c r="D153" s="30">
        <v>1</v>
      </c>
    </row>
    <row r="154" spans="3:4" x14ac:dyDescent="0.25">
      <c r="C154" s="59" t="s">
        <v>221</v>
      </c>
      <c r="D154" s="30">
        <v>1</v>
      </c>
    </row>
    <row r="155" spans="3:4" x14ac:dyDescent="0.25">
      <c r="C155" s="59" t="s">
        <v>224</v>
      </c>
      <c r="D155" s="30">
        <v>1</v>
      </c>
    </row>
    <row r="156" spans="3:4" x14ac:dyDescent="0.25">
      <c r="C156" s="59" t="s">
        <v>307</v>
      </c>
      <c r="D156" s="30">
        <v>1</v>
      </c>
    </row>
    <row r="157" spans="3:4" x14ac:dyDescent="0.25">
      <c r="C157" s="59" t="s">
        <v>315</v>
      </c>
      <c r="D157" s="30">
        <v>1</v>
      </c>
    </row>
    <row r="158" spans="3:4" x14ac:dyDescent="0.25">
      <c r="C158" s="59" t="s">
        <v>331</v>
      </c>
      <c r="D158" s="30">
        <v>1</v>
      </c>
    </row>
    <row r="159" spans="3:4" x14ac:dyDescent="0.25">
      <c r="C159" s="59" t="s">
        <v>337</v>
      </c>
      <c r="D159" s="30">
        <v>1</v>
      </c>
    </row>
    <row r="160" spans="3:4" x14ac:dyDescent="0.25">
      <c r="C160" s="59" t="s">
        <v>346</v>
      </c>
      <c r="D160" s="30">
        <v>1</v>
      </c>
    </row>
    <row r="161" spans="3:4" x14ac:dyDescent="0.25">
      <c r="C161" s="59" t="s">
        <v>352</v>
      </c>
      <c r="D161" s="30">
        <v>1</v>
      </c>
    </row>
    <row r="162" spans="3:4" x14ac:dyDescent="0.25">
      <c r="C162" s="59" t="s">
        <v>353</v>
      </c>
      <c r="D162" s="30">
        <v>1</v>
      </c>
    </row>
    <row r="163" spans="3:4" x14ac:dyDescent="0.25">
      <c r="C163" s="59" t="s">
        <v>354</v>
      </c>
      <c r="D163" s="30">
        <v>1</v>
      </c>
    </row>
    <row r="164" spans="3:4" x14ac:dyDescent="0.25">
      <c r="C164" s="59" t="s">
        <v>358</v>
      </c>
      <c r="D164" s="30">
        <v>1</v>
      </c>
    </row>
    <row r="165" spans="3:4" x14ac:dyDescent="0.25">
      <c r="C165" s="59" t="s">
        <v>359</v>
      </c>
      <c r="D165" s="30">
        <v>1</v>
      </c>
    </row>
    <row r="166" spans="3:4" x14ac:dyDescent="0.25">
      <c r="C166" s="59" t="s">
        <v>468</v>
      </c>
      <c r="D166" s="30">
        <v>1</v>
      </c>
    </row>
    <row r="167" spans="3:4" x14ac:dyDescent="0.25">
      <c r="C167" s="59" t="s">
        <v>478</v>
      </c>
      <c r="D167" s="30">
        <v>1</v>
      </c>
    </row>
    <row r="168" spans="3:4" x14ac:dyDescent="0.25">
      <c r="C168" s="59" t="s">
        <v>488</v>
      </c>
      <c r="D168" s="30">
        <v>1</v>
      </c>
    </row>
    <row r="169" spans="3:4" x14ac:dyDescent="0.25">
      <c r="C169" s="59" t="s">
        <v>493</v>
      </c>
      <c r="D169" s="30">
        <v>1</v>
      </c>
    </row>
    <row r="170" spans="3:4" x14ac:dyDescent="0.25">
      <c r="C170" s="59" t="s">
        <v>498</v>
      </c>
      <c r="D170" s="30">
        <v>1</v>
      </c>
    </row>
    <row r="171" spans="3:4" x14ac:dyDescent="0.25">
      <c r="C171" s="74">
        <v>45761</v>
      </c>
      <c r="D171" s="30">
        <v>12</v>
      </c>
    </row>
    <row r="172" spans="3:4" x14ac:dyDescent="0.25">
      <c r="C172" s="59" t="s">
        <v>222</v>
      </c>
      <c r="D172" s="30">
        <v>1</v>
      </c>
    </row>
    <row r="173" spans="3:4" x14ac:dyDescent="0.25">
      <c r="C173" s="59" t="s">
        <v>227</v>
      </c>
      <c r="D173" s="30">
        <v>1</v>
      </c>
    </row>
    <row r="174" spans="3:4" x14ac:dyDescent="0.25">
      <c r="C174" s="59" t="s">
        <v>232</v>
      </c>
      <c r="D174" s="30">
        <v>1</v>
      </c>
    </row>
    <row r="175" spans="3:4" x14ac:dyDescent="0.25">
      <c r="C175" s="59" t="s">
        <v>309</v>
      </c>
      <c r="D175" s="30">
        <v>1</v>
      </c>
    </row>
    <row r="176" spans="3:4" x14ac:dyDescent="0.25">
      <c r="C176" s="59" t="s">
        <v>319</v>
      </c>
      <c r="D176" s="30">
        <v>1</v>
      </c>
    </row>
    <row r="177" spans="3:4" x14ac:dyDescent="0.25">
      <c r="C177" s="59" t="s">
        <v>357</v>
      </c>
      <c r="D177" s="30">
        <v>1</v>
      </c>
    </row>
    <row r="178" spans="3:4" x14ac:dyDescent="0.25">
      <c r="C178" s="59" t="s">
        <v>360</v>
      </c>
      <c r="D178" s="30">
        <v>1</v>
      </c>
    </row>
    <row r="179" spans="3:4" x14ac:dyDescent="0.25">
      <c r="C179" s="59" t="s">
        <v>363</v>
      </c>
      <c r="D179" s="30">
        <v>1</v>
      </c>
    </row>
    <row r="180" spans="3:4" x14ac:dyDescent="0.25">
      <c r="C180" s="59" t="s">
        <v>416</v>
      </c>
      <c r="D180" s="30">
        <v>1</v>
      </c>
    </row>
    <row r="181" spans="3:4" x14ac:dyDescent="0.25">
      <c r="C181" s="59" t="s">
        <v>451</v>
      </c>
      <c r="D181" s="30">
        <v>1</v>
      </c>
    </row>
    <row r="182" spans="3:4" x14ac:dyDescent="0.25">
      <c r="C182" s="59" t="s">
        <v>479</v>
      </c>
      <c r="D182" s="30">
        <v>1</v>
      </c>
    </row>
    <row r="183" spans="3:4" x14ac:dyDescent="0.25">
      <c r="C183" s="59" t="s">
        <v>487</v>
      </c>
      <c r="D183" s="30">
        <v>1</v>
      </c>
    </row>
    <row r="184" spans="3:4" x14ac:dyDescent="0.25">
      <c r="C184" s="74">
        <v>45762</v>
      </c>
      <c r="D184" s="30">
        <v>6</v>
      </c>
    </row>
    <row r="185" spans="3:4" x14ac:dyDescent="0.25">
      <c r="C185" s="59" t="s">
        <v>155</v>
      </c>
      <c r="D185" s="30">
        <v>1</v>
      </c>
    </row>
    <row r="186" spans="3:4" x14ac:dyDescent="0.25">
      <c r="C186" s="59" t="s">
        <v>229</v>
      </c>
      <c r="D186" s="30">
        <v>1</v>
      </c>
    </row>
    <row r="187" spans="3:4" x14ac:dyDescent="0.25">
      <c r="C187" s="59" t="s">
        <v>366</v>
      </c>
      <c r="D187" s="30">
        <v>1</v>
      </c>
    </row>
    <row r="188" spans="3:4" x14ac:dyDescent="0.25">
      <c r="C188" s="59" t="s">
        <v>367</v>
      </c>
      <c r="D188" s="30">
        <v>1</v>
      </c>
    </row>
    <row r="189" spans="3:4" x14ac:dyDescent="0.25">
      <c r="C189" s="59" t="s">
        <v>499</v>
      </c>
      <c r="D189" s="30">
        <v>1</v>
      </c>
    </row>
    <row r="190" spans="3:4" x14ac:dyDescent="0.25">
      <c r="C190" s="59" t="s">
        <v>501</v>
      </c>
      <c r="D190" s="30">
        <v>1</v>
      </c>
    </row>
    <row r="191" spans="3:4" x14ac:dyDescent="0.25">
      <c r="C191" s="74">
        <v>45763</v>
      </c>
      <c r="D191" s="30">
        <v>10</v>
      </c>
    </row>
    <row r="192" spans="3:4" x14ac:dyDescent="0.25">
      <c r="C192" s="59" t="s">
        <v>156</v>
      </c>
      <c r="D192" s="30">
        <v>1</v>
      </c>
    </row>
    <row r="193" spans="3:4" x14ac:dyDescent="0.25">
      <c r="C193" s="59" t="s">
        <v>178</v>
      </c>
      <c r="D193" s="30">
        <v>1</v>
      </c>
    </row>
    <row r="194" spans="3:4" x14ac:dyDescent="0.25">
      <c r="C194" s="59" t="s">
        <v>181</v>
      </c>
      <c r="D194" s="30">
        <v>1</v>
      </c>
    </row>
    <row r="195" spans="3:4" x14ac:dyDescent="0.25">
      <c r="C195" s="59" t="s">
        <v>212</v>
      </c>
      <c r="D195" s="30">
        <v>1</v>
      </c>
    </row>
    <row r="196" spans="3:4" x14ac:dyDescent="0.25">
      <c r="C196" s="59" t="s">
        <v>225</v>
      </c>
      <c r="D196" s="30">
        <v>1</v>
      </c>
    </row>
    <row r="197" spans="3:4" x14ac:dyDescent="0.25">
      <c r="C197" s="59" t="s">
        <v>309</v>
      </c>
      <c r="D197" s="30">
        <v>1</v>
      </c>
    </row>
    <row r="198" spans="3:4" x14ac:dyDescent="0.25">
      <c r="C198" s="59" t="s">
        <v>371</v>
      </c>
      <c r="D198" s="30">
        <v>1</v>
      </c>
    </row>
    <row r="199" spans="3:4" x14ac:dyDescent="0.25">
      <c r="C199" s="59" t="s">
        <v>439</v>
      </c>
      <c r="D199" s="30">
        <v>1</v>
      </c>
    </row>
    <row r="200" spans="3:4" x14ac:dyDescent="0.25">
      <c r="C200" s="59" t="s">
        <v>515</v>
      </c>
      <c r="D200" s="30">
        <v>1</v>
      </c>
    </row>
    <row r="201" spans="3:4" x14ac:dyDescent="0.25">
      <c r="C201" s="59" t="s">
        <v>520</v>
      </c>
      <c r="D201" s="30">
        <v>1</v>
      </c>
    </row>
    <row r="202" spans="3:4" x14ac:dyDescent="0.25">
      <c r="C202" s="74">
        <v>45764</v>
      </c>
      <c r="D202" s="30">
        <v>12</v>
      </c>
    </row>
    <row r="203" spans="3:4" x14ac:dyDescent="0.25">
      <c r="C203" s="59" t="s">
        <v>234</v>
      </c>
      <c r="D203" s="30">
        <v>1</v>
      </c>
    </row>
    <row r="204" spans="3:4" x14ac:dyDescent="0.25">
      <c r="C204" s="59" t="s">
        <v>275</v>
      </c>
      <c r="D204" s="30">
        <v>1</v>
      </c>
    </row>
    <row r="205" spans="3:4" x14ac:dyDescent="0.25">
      <c r="C205" s="59" t="s">
        <v>277</v>
      </c>
      <c r="D205" s="30">
        <v>1</v>
      </c>
    </row>
    <row r="206" spans="3:4" x14ac:dyDescent="0.25">
      <c r="C206" s="59" t="s">
        <v>315</v>
      </c>
      <c r="D206" s="30">
        <v>1</v>
      </c>
    </row>
    <row r="207" spans="3:4" x14ac:dyDescent="0.25">
      <c r="C207" s="59" t="s">
        <v>332</v>
      </c>
      <c r="D207" s="30">
        <v>1</v>
      </c>
    </row>
    <row r="208" spans="3:4" x14ac:dyDescent="0.25">
      <c r="C208" s="59" t="s">
        <v>342</v>
      </c>
      <c r="D208" s="30">
        <v>1</v>
      </c>
    </row>
    <row r="209" spans="3:4" x14ac:dyDescent="0.25">
      <c r="C209" s="59" t="s">
        <v>369</v>
      </c>
      <c r="D209" s="30">
        <v>1</v>
      </c>
    </row>
    <row r="210" spans="3:4" x14ac:dyDescent="0.25">
      <c r="C210" s="59" t="s">
        <v>370</v>
      </c>
      <c r="D210" s="30">
        <v>1</v>
      </c>
    </row>
    <row r="211" spans="3:4" x14ac:dyDescent="0.25">
      <c r="C211" s="59" t="s">
        <v>400</v>
      </c>
      <c r="D211" s="30">
        <v>1</v>
      </c>
    </row>
    <row r="212" spans="3:4" x14ac:dyDescent="0.25">
      <c r="C212" s="59" t="s">
        <v>406</v>
      </c>
      <c r="D212" s="30">
        <v>1</v>
      </c>
    </row>
    <row r="213" spans="3:4" x14ac:dyDescent="0.25">
      <c r="C213" s="59" t="s">
        <v>436</v>
      </c>
      <c r="D213" s="30">
        <v>1</v>
      </c>
    </row>
    <row r="214" spans="3:4" x14ac:dyDescent="0.25">
      <c r="C214" s="59" t="s">
        <v>440</v>
      </c>
      <c r="D214" s="30">
        <v>1</v>
      </c>
    </row>
    <row r="215" spans="3:4" x14ac:dyDescent="0.25">
      <c r="C215" s="74">
        <v>45769</v>
      </c>
      <c r="D215" s="30">
        <v>20</v>
      </c>
    </row>
    <row r="216" spans="3:4" x14ac:dyDescent="0.25">
      <c r="C216" s="59" t="s">
        <v>142</v>
      </c>
      <c r="D216" s="30">
        <v>1</v>
      </c>
    </row>
    <row r="217" spans="3:4" x14ac:dyDescent="0.25">
      <c r="C217" s="59" t="s">
        <v>144</v>
      </c>
      <c r="D217" s="30">
        <v>1</v>
      </c>
    </row>
    <row r="218" spans="3:4" x14ac:dyDescent="0.25">
      <c r="C218" s="59" t="s">
        <v>161</v>
      </c>
      <c r="D218" s="30">
        <v>1</v>
      </c>
    </row>
    <row r="219" spans="3:4" x14ac:dyDescent="0.25">
      <c r="C219" s="59" t="s">
        <v>163</v>
      </c>
      <c r="D219" s="30">
        <v>1</v>
      </c>
    </row>
    <row r="220" spans="3:4" x14ac:dyDescent="0.25">
      <c r="C220" s="59" t="s">
        <v>186</v>
      </c>
      <c r="D220" s="30">
        <v>1</v>
      </c>
    </row>
    <row r="221" spans="3:4" x14ac:dyDescent="0.25">
      <c r="C221" s="59" t="s">
        <v>194</v>
      </c>
      <c r="D221" s="30">
        <v>1</v>
      </c>
    </row>
    <row r="222" spans="3:4" x14ac:dyDescent="0.25">
      <c r="C222" s="59" t="s">
        <v>237</v>
      </c>
      <c r="D222" s="30">
        <v>1</v>
      </c>
    </row>
    <row r="223" spans="3:4" x14ac:dyDescent="0.25">
      <c r="C223" s="59" t="s">
        <v>373</v>
      </c>
      <c r="D223" s="30">
        <v>1</v>
      </c>
    </row>
    <row r="224" spans="3:4" x14ac:dyDescent="0.25">
      <c r="C224" s="59" t="s">
        <v>377</v>
      </c>
      <c r="D224" s="30">
        <v>1</v>
      </c>
    </row>
    <row r="225" spans="3:4" x14ac:dyDescent="0.25">
      <c r="C225" s="59" t="s">
        <v>396</v>
      </c>
      <c r="D225" s="30">
        <v>1</v>
      </c>
    </row>
    <row r="226" spans="3:4" x14ac:dyDescent="0.25">
      <c r="C226" s="59" t="s">
        <v>403</v>
      </c>
      <c r="D226" s="30">
        <v>1</v>
      </c>
    </row>
    <row r="227" spans="3:4" x14ac:dyDescent="0.25">
      <c r="C227" s="59" t="s">
        <v>413</v>
      </c>
      <c r="D227" s="30">
        <v>1</v>
      </c>
    </row>
    <row r="228" spans="3:4" x14ac:dyDescent="0.25">
      <c r="C228" s="59" t="s">
        <v>417</v>
      </c>
      <c r="D228" s="30">
        <v>1</v>
      </c>
    </row>
    <row r="229" spans="3:4" x14ac:dyDescent="0.25">
      <c r="C229" s="59" t="s">
        <v>418</v>
      </c>
      <c r="D229" s="30">
        <v>1</v>
      </c>
    </row>
    <row r="230" spans="3:4" x14ac:dyDescent="0.25">
      <c r="C230" s="59" t="s">
        <v>419</v>
      </c>
      <c r="D230" s="30">
        <v>1</v>
      </c>
    </row>
    <row r="231" spans="3:4" x14ac:dyDescent="0.25">
      <c r="C231" s="59" t="s">
        <v>463</v>
      </c>
      <c r="D231" s="30">
        <v>1</v>
      </c>
    </row>
    <row r="232" spans="3:4" x14ac:dyDescent="0.25">
      <c r="C232" s="59" t="s">
        <v>472</v>
      </c>
      <c r="D232" s="30">
        <v>1</v>
      </c>
    </row>
    <row r="233" spans="3:4" x14ac:dyDescent="0.25">
      <c r="C233" s="59" t="s">
        <v>500</v>
      </c>
      <c r="D233" s="30">
        <v>1</v>
      </c>
    </row>
    <row r="234" spans="3:4" x14ac:dyDescent="0.25">
      <c r="C234" s="59" t="s">
        <v>506</v>
      </c>
      <c r="D234" s="30">
        <v>1</v>
      </c>
    </row>
    <row r="235" spans="3:4" x14ac:dyDescent="0.25">
      <c r="C235" s="59" t="s">
        <v>508</v>
      </c>
      <c r="D235" s="30">
        <v>1</v>
      </c>
    </row>
    <row r="236" spans="3:4" x14ac:dyDescent="0.25">
      <c r="C236" s="74">
        <v>45770</v>
      </c>
      <c r="D236" s="30">
        <v>7</v>
      </c>
    </row>
    <row r="237" spans="3:4" x14ac:dyDescent="0.25">
      <c r="C237" s="59" t="s">
        <v>165</v>
      </c>
      <c r="D237" s="30">
        <v>1</v>
      </c>
    </row>
    <row r="238" spans="3:4" x14ac:dyDescent="0.25">
      <c r="C238" s="59" t="s">
        <v>238</v>
      </c>
      <c r="D238" s="30">
        <v>1</v>
      </c>
    </row>
    <row r="239" spans="3:4" x14ac:dyDescent="0.25">
      <c r="C239" s="59" t="s">
        <v>276</v>
      </c>
      <c r="D239" s="30">
        <v>1</v>
      </c>
    </row>
    <row r="240" spans="3:4" x14ac:dyDescent="0.25">
      <c r="C240" s="59" t="s">
        <v>365</v>
      </c>
      <c r="D240" s="30">
        <v>1</v>
      </c>
    </row>
    <row r="241" spans="3:4" x14ac:dyDescent="0.25">
      <c r="C241" s="59" t="s">
        <v>375</v>
      </c>
      <c r="D241" s="30">
        <v>1</v>
      </c>
    </row>
    <row r="242" spans="3:4" x14ac:dyDescent="0.25">
      <c r="C242" s="59" t="s">
        <v>378</v>
      </c>
      <c r="D242" s="30">
        <v>1</v>
      </c>
    </row>
    <row r="243" spans="3:4" x14ac:dyDescent="0.25">
      <c r="C243" s="59" t="s">
        <v>502</v>
      </c>
      <c r="D243" s="30">
        <v>1</v>
      </c>
    </row>
    <row r="244" spans="3:4" x14ac:dyDescent="0.25">
      <c r="C244" s="74">
        <v>45771</v>
      </c>
      <c r="D244" s="30">
        <v>12</v>
      </c>
    </row>
    <row r="245" spans="3:4" x14ac:dyDescent="0.25">
      <c r="C245" s="59" t="s">
        <v>135</v>
      </c>
      <c r="D245" s="30">
        <v>1</v>
      </c>
    </row>
    <row r="246" spans="3:4" x14ac:dyDescent="0.25">
      <c r="C246" s="59" t="s">
        <v>140</v>
      </c>
      <c r="D246" s="30">
        <v>1</v>
      </c>
    </row>
    <row r="247" spans="3:4" x14ac:dyDescent="0.25">
      <c r="C247" s="59" t="s">
        <v>205</v>
      </c>
      <c r="D247" s="30">
        <v>1</v>
      </c>
    </row>
    <row r="248" spans="3:4" x14ac:dyDescent="0.25">
      <c r="C248" s="59" t="s">
        <v>214</v>
      </c>
      <c r="D248" s="30">
        <v>1</v>
      </c>
    </row>
    <row r="249" spans="3:4" x14ac:dyDescent="0.25">
      <c r="C249" s="59" t="s">
        <v>243</v>
      </c>
      <c r="D249" s="30">
        <v>1</v>
      </c>
    </row>
    <row r="250" spans="3:4" x14ac:dyDescent="0.25">
      <c r="C250" s="59" t="s">
        <v>435</v>
      </c>
      <c r="D250" s="30">
        <v>1</v>
      </c>
    </row>
    <row r="251" spans="3:4" x14ac:dyDescent="0.25">
      <c r="C251" s="59" t="s">
        <v>437</v>
      </c>
      <c r="D251" s="30">
        <v>1</v>
      </c>
    </row>
    <row r="252" spans="3:4" x14ac:dyDescent="0.25">
      <c r="C252" s="59" t="s">
        <v>438</v>
      </c>
      <c r="D252" s="30">
        <v>1</v>
      </c>
    </row>
    <row r="253" spans="3:4" x14ac:dyDescent="0.25">
      <c r="C253" s="59" t="s">
        <v>441</v>
      </c>
      <c r="D253" s="30">
        <v>1</v>
      </c>
    </row>
    <row r="254" spans="3:4" x14ac:dyDescent="0.25">
      <c r="C254" s="59" t="s">
        <v>475</v>
      </c>
      <c r="D254" s="30">
        <v>1</v>
      </c>
    </row>
    <row r="255" spans="3:4" x14ac:dyDescent="0.25">
      <c r="C255" s="59" t="s">
        <v>510</v>
      </c>
      <c r="D255" s="30">
        <v>1</v>
      </c>
    </row>
    <row r="256" spans="3:4" x14ac:dyDescent="0.25">
      <c r="C256" s="59" t="s">
        <v>512</v>
      </c>
      <c r="D256" s="30">
        <v>1</v>
      </c>
    </row>
    <row r="257" spans="3:4" x14ac:dyDescent="0.25">
      <c r="C257" s="74">
        <v>45772</v>
      </c>
      <c r="D257" s="30">
        <v>18</v>
      </c>
    </row>
    <row r="258" spans="3:4" x14ac:dyDescent="0.25">
      <c r="C258" s="59" t="s">
        <v>166</v>
      </c>
      <c r="D258" s="30">
        <v>1</v>
      </c>
    </row>
    <row r="259" spans="3:4" x14ac:dyDescent="0.25">
      <c r="C259" s="59" t="s">
        <v>287</v>
      </c>
      <c r="D259" s="30">
        <v>1</v>
      </c>
    </row>
    <row r="260" spans="3:4" x14ac:dyDescent="0.25">
      <c r="C260" s="59" t="s">
        <v>291</v>
      </c>
      <c r="D260" s="30">
        <v>1</v>
      </c>
    </row>
    <row r="261" spans="3:4" x14ac:dyDescent="0.25">
      <c r="C261" s="59" t="s">
        <v>300</v>
      </c>
      <c r="D261" s="30">
        <v>1</v>
      </c>
    </row>
    <row r="262" spans="3:4" x14ac:dyDescent="0.25">
      <c r="C262" s="59" t="s">
        <v>304</v>
      </c>
      <c r="D262" s="30">
        <v>1</v>
      </c>
    </row>
    <row r="263" spans="3:4" x14ac:dyDescent="0.25">
      <c r="C263" s="59" t="s">
        <v>308</v>
      </c>
      <c r="D263" s="30">
        <v>1</v>
      </c>
    </row>
    <row r="264" spans="3:4" x14ac:dyDescent="0.25">
      <c r="C264" s="59" t="s">
        <v>315</v>
      </c>
      <c r="D264" s="30">
        <v>1</v>
      </c>
    </row>
    <row r="265" spans="3:4" x14ac:dyDescent="0.25">
      <c r="C265" s="59" t="s">
        <v>317</v>
      </c>
      <c r="D265" s="30">
        <v>1</v>
      </c>
    </row>
    <row r="266" spans="3:4" x14ac:dyDescent="0.25">
      <c r="C266" s="59" t="s">
        <v>336</v>
      </c>
      <c r="D266" s="30">
        <v>1</v>
      </c>
    </row>
    <row r="267" spans="3:4" x14ac:dyDescent="0.25">
      <c r="C267" s="59" t="s">
        <v>397</v>
      </c>
      <c r="D267" s="30">
        <v>1</v>
      </c>
    </row>
    <row r="268" spans="3:4" x14ac:dyDescent="0.25">
      <c r="C268" s="59" t="s">
        <v>427</v>
      </c>
      <c r="D268" s="30">
        <v>1</v>
      </c>
    </row>
    <row r="269" spans="3:4" x14ac:dyDescent="0.25">
      <c r="C269" s="59" t="s">
        <v>459</v>
      </c>
      <c r="D269" s="30">
        <v>1</v>
      </c>
    </row>
    <row r="270" spans="3:4" x14ac:dyDescent="0.25">
      <c r="C270" s="59" t="s">
        <v>469</v>
      </c>
      <c r="D270" s="30">
        <v>1</v>
      </c>
    </row>
    <row r="271" spans="3:4" x14ac:dyDescent="0.25">
      <c r="C271" s="59" t="s">
        <v>474</v>
      </c>
      <c r="D271" s="30">
        <v>1</v>
      </c>
    </row>
    <row r="272" spans="3:4" x14ac:dyDescent="0.25">
      <c r="C272" s="59" t="s">
        <v>480</v>
      </c>
      <c r="D272" s="30">
        <v>1</v>
      </c>
    </row>
    <row r="273" spans="3:4" x14ac:dyDescent="0.25">
      <c r="C273" s="59" t="s">
        <v>489</v>
      </c>
      <c r="D273" s="30">
        <v>1</v>
      </c>
    </row>
    <row r="274" spans="3:4" x14ac:dyDescent="0.25">
      <c r="C274" s="59" t="s">
        <v>490</v>
      </c>
      <c r="D274" s="30">
        <v>1</v>
      </c>
    </row>
    <row r="275" spans="3:4" x14ac:dyDescent="0.25">
      <c r="C275" s="59" t="s">
        <v>514</v>
      </c>
      <c r="D275" s="30">
        <v>1</v>
      </c>
    </row>
    <row r="276" spans="3:4" x14ac:dyDescent="0.25">
      <c r="C276" s="74">
        <v>45775</v>
      </c>
      <c r="D276" s="30">
        <v>13</v>
      </c>
    </row>
    <row r="277" spans="3:4" x14ac:dyDescent="0.25">
      <c r="C277" s="59" t="s">
        <v>125</v>
      </c>
      <c r="D277" s="30">
        <v>1</v>
      </c>
    </row>
    <row r="278" spans="3:4" x14ac:dyDescent="0.25">
      <c r="C278" s="59" t="s">
        <v>284</v>
      </c>
      <c r="D278" s="30">
        <v>1</v>
      </c>
    </row>
    <row r="279" spans="3:4" x14ac:dyDescent="0.25">
      <c r="C279" s="59" t="s">
        <v>299</v>
      </c>
      <c r="D279" s="30">
        <v>1</v>
      </c>
    </row>
    <row r="280" spans="3:4" x14ac:dyDescent="0.25">
      <c r="C280" s="59" t="s">
        <v>343</v>
      </c>
      <c r="D280" s="30">
        <v>1</v>
      </c>
    </row>
    <row r="281" spans="3:4" x14ac:dyDescent="0.25">
      <c r="C281" s="59" t="s">
        <v>372</v>
      </c>
      <c r="D281" s="30">
        <v>1</v>
      </c>
    </row>
    <row r="282" spans="3:4" x14ac:dyDescent="0.25">
      <c r="C282" s="59" t="s">
        <v>376</v>
      </c>
      <c r="D282" s="30">
        <v>1</v>
      </c>
    </row>
    <row r="283" spans="3:4" x14ac:dyDescent="0.25">
      <c r="C283" s="59" t="s">
        <v>380</v>
      </c>
      <c r="D283" s="30">
        <v>1</v>
      </c>
    </row>
    <row r="284" spans="3:4" x14ac:dyDescent="0.25">
      <c r="C284" s="59" t="s">
        <v>381</v>
      </c>
      <c r="D284" s="30">
        <v>1</v>
      </c>
    </row>
    <row r="285" spans="3:4" x14ac:dyDescent="0.25">
      <c r="C285" s="59" t="s">
        <v>394</v>
      </c>
      <c r="D285" s="30">
        <v>1</v>
      </c>
    </row>
    <row r="286" spans="3:4" x14ac:dyDescent="0.25">
      <c r="C286" s="59" t="s">
        <v>410</v>
      </c>
      <c r="D286" s="30">
        <v>1</v>
      </c>
    </row>
    <row r="287" spans="3:4" x14ac:dyDescent="0.25">
      <c r="C287" s="59" t="s">
        <v>455</v>
      </c>
      <c r="D287" s="30">
        <v>1</v>
      </c>
    </row>
    <row r="288" spans="3:4" x14ac:dyDescent="0.25">
      <c r="C288" s="59" t="s">
        <v>491</v>
      </c>
      <c r="D288" s="30">
        <v>1</v>
      </c>
    </row>
    <row r="289" spans="3:4" x14ac:dyDescent="0.25">
      <c r="C289" s="59" t="s">
        <v>511</v>
      </c>
      <c r="D289" s="30">
        <v>1</v>
      </c>
    </row>
    <row r="290" spans="3:4" x14ac:dyDescent="0.25">
      <c r="C290" s="74">
        <v>45776</v>
      </c>
      <c r="D290" s="30">
        <v>12</v>
      </c>
    </row>
    <row r="291" spans="3:4" x14ac:dyDescent="0.25">
      <c r="C291" s="59" t="s">
        <v>174</v>
      </c>
      <c r="D291" s="30">
        <v>1</v>
      </c>
    </row>
    <row r="292" spans="3:4" x14ac:dyDescent="0.25">
      <c r="C292" s="59" t="s">
        <v>192</v>
      </c>
      <c r="D292" s="30">
        <v>1</v>
      </c>
    </row>
    <row r="293" spans="3:4" x14ac:dyDescent="0.25">
      <c r="C293" s="59" t="s">
        <v>239</v>
      </c>
      <c r="D293" s="30">
        <v>1</v>
      </c>
    </row>
    <row r="294" spans="3:4" x14ac:dyDescent="0.25">
      <c r="C294" s="59" t="s">
        <v>242</v>
      </c>
      <c r="D294" s="30">
        <v>1</v>
      </c>
    </row>
    <row r="295" spans="3:4" x14ac:dyDescent="0.25">
      <c r="C295" s="59" t="s">
        <v>293</v>
      </c>
      <c r="D295" s="30">
        <v>1</v>
      </c>
    </row>
    <row r="296" spans="3:4" x14ac:dyDescent="0.25">
      <c r="C296" s="59" t="s">
        <v>302</v>
      </c>
      <c r="D296" s="30">
        <v>1</v>
      </c>
    </row>
    <row r="297" spans="3:4" x14ac:dyDescent="0.25">
      <c r="C297" s="59" t="s">
        <v>313</v>
      </c>
      <c r="D297" s="30">
        <v>1</v>
      </c>
    </row>
    <row r="298" spans="3:4" x14ac:dyDescent="0.25">
      <c r="C298" s="59" t="s">
        <v>321</v>
      </c>
      <c r="D298" s="30">
        <v>1</v>
      </c>
    </row>
    <row r="299" spans="3:4" x14ac:dyDescent="0.25">
      <c r="C299" s="59" t="s">
        <v>374</v>
      </c>
      <c r="D299" s="30">
        <v>1</v>
      </c>
    </row>
    <row r="300" spans="3:4" x14ac:dyDescent="0.25">
      <c r="C300" s="59" t="s">
        <v>383</v>
      </c>
      <c r="D300" s="30">
        <v>1</v>
      </c>
    </row>
    <row r="301" spans="3:4" x14ac:dyDescent="0.25">
      <c r="C301" s="59" t="s">
        <v>399</v>
      </c>
      <c r="D301" s="30">
        <v>1</v>
      </c>
    </row>
    <row r="302" spans="3:4" x14ac:dyDescent="0.25">
      <c r="C302" s="59" t="s">
        <v>495</v>
      </c>
      <c r="D302" s="30">
        <v>1</v>
      </c>
    </row>
    <row r="303" spans="3:4" x14ac:dyDescent="0.25">
      <c r="C303" s="74">
        <v>45777</v>
      </c>
      <c r="D303" s="30">
        <v>19</v>
      </c>
    </row>
    <row r="304" spans="3:4" x14ac:dyDescent="0.25">
      <c r="C304" s="59" t="s">
        <v>176</v>
      </c>
      <c r="D304" s="30">
        <v>1</v>
      </c>
    </row>
    <row r="305" spans="3:4" x14ac:dyDescent="0.25">
      <c r="C305" s="59" t="s">
        <v>199</v>
      </c>
      <c r="D305" s="30">
        <v>1</v>
      </c>
    </row>
    <row r="306" spans="3:4" x14ac:dyDescent="0.25">
      <c r="C306" s="59" t="s">
        <v>208</v>
      </c>
      <c r="D306" s="30">
        <v>1</v>
      </c>
    </row>
    <row r="307" spans="3:4" x14ac:dyDescent="0.25">
      <c r="C307" s="59" t="s">
        <v>209</v>
      </c>
      <c r="D307" s="30">
        <v>1</v>
      </c>
    </row>
    <row r="308" spans="3:4" x14ac:dyDescent="0.25">
      <c r="C308" s="59" t="s">
        <v>240</v>
      </c>
      <c r="D308" s="30">
        <v>1</v>
      </c>
    </row>
    <row r="309" spans="3:4" x14ac:dyDescent="0.25">
      <c r="C309" s="59" t="s">
        <v>250</v>
      </c>
      <c r="D309" s="30">
        <v>1</v>
      </c>
    </row>
    <row r="310" spans="3:4" x14ac:dyDescent="0.25">
      <c r="C310" s="59" t="s">
        <v>252</v>
      </c>
      <c r="D310" s="30">
        <v>1</v>
      </c>
    </row>
    <row r="311" spans="3:4" x14ac:dyDescent="0.25">
      <c r="C311" s="59" t="s">
        <v>254</v>
      </c>
      <c r="D311" s="30">
        <v>1</v>
      </c>
    </row>
    <row r="312" spans="3:4" x14ac:dyDescent="0.25">
      <c r="C312" s="59" t="s">
        <v>361</v>
      </c>
      <c r="D312" s="30">
        <v>1</v>
      </c>
    </row>
    <row r="313" spans="3:4" x14ac:dyDescent="0.25">
      <c r="C313" s="59" t="s">
        <v>408</v>
      </c>
      <c r="D313" s="30">
        <v>1</v>
      </c>
    </row>
    <row r="314" spans="3:4" x14ac:dyDescent="0.25">
      <c r="C314" s="59" t="s">
        <v>409</v>
      </c>
      <c r="D314" s="30">
        <v>1</v>
      </c>
    </row>
    <row r="315" spans="3:4" x14ac:dyDescent="0.25">
      <c r="C315" s="59" t="s">
        <v>428</v>
      </c>
      <c r="D315" s="30">
        <v>1</v>
      </c>
    </row>
    <row r="316" spans="3:4" x14ac:dyDescent="0.25">
      <c r="C316" s="59" t="s">
        <v>429</v>
      </c>
      <c r="D316" s="30">
        <v>1</v>
      </c>
    </row>
    <row r="317" spans="3:4" x14ac:dyDescent="0.25">
      <c r="C317" s="59" t="s">
        <v>456</v>
      </c>
      <c r="D317" s="30">
        <v>1</v>
      </c>
    </row>
    <row r="318" spans="3:4" x14ac:dyDescent="0.25">
      <c r="C318" s="59" t="s">
        <v>457</v>
      </c>
      <c r="D318" s="30">
        <v>1</v>
      </c>
    </row>
    <row r="319" spans="3:4" x14ac:dyDescent="0.25">
      <c r="C319" s="59" t="s">
        <v>464</v>
      </c>
      <c r="D319" s="30">
        <v>1</v>
      </c>
    </row>
    <row r="320" spans="3:4" x14ac:dyDescent="0.25">
      <c r="C320" s="59" t="s">
        <v>473</v>
      </c>
      <c r="D320" s="30">
        <v>1</v>
      </c>
    </row>
    <row r="321" spans="3:4" x14ac:dyDescent="0.25">
      <c r="C321" s="59" t="s">
        <v>497</v>
      </c>
      <c r="D321" s="30">
        <v>1</v>
      </c>
    </row>
    <row r="322" spans="3:4" x14ac:dyDescent="0.25">
      <c r="C322" s="59" t="s">
        <v>507</v>
      </c>
      <c r="D322" s="30">
        <v>1</v>
      </c>
    </row>
    <row r="323" spans="3:4" x14ac:dyDescent="0.25">
      <c r="C323" s="29" t="s">
        <v>70</v>
      </c>
      <c r="D323" s="30">
        <v>291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B1:D540"/>
  <sheetViews>
    <sheetView workbookViewId="0"/>
  </sheetViews>
  <sheetFormatPr defaultRowHeight="15" x14ac:dyDescent="0.25"/>
  <cols>
    <col min="2" max="2" width="182.140625" bestFit="1" customWidth="1"/>
    <col min="3" max="3" width="16.28515625" bestFit="1" customWidth="1"/>
    <col min="4" max="4" width="11.28515625" bestFit="1" customWidth="1"/>
    <col min="5" max="5" width="10.140625" bestFit="1" customWidth="1"/>
    <col min="6" max="6" width="11.28515625" bestFit="1" customWidth="1"/>
    <col min="7" max="7" width="15.85546875" customWidth="1"/>
    <col min="8" max="8" width="6.140625" customWidth="1"/>
    <col min="9" max="9" width="5.5703125" customWidth="1"/>
    <col min="10" max="10" width="8.140625" customWidth="1"/>
    <col min="11" max="11" width="14.5703125" bestFit="1" customWidth="1"/>
    <col min="12" max="12" width="17.85546875" bestFit="1" customWidth="1"/>
    <col min="13" max="13" width="12.7109375" bestFit="1" customWidth="1"/>
    <col min="14" max="14" width="15.85546875" bestFit="1" customWidth="1"/>
    <col min="15" max="15" width="5.5703125" customWidth="1"/>
    <col min="16" max="16" width="8" customWidth="1"/>
    <col min="18" max="18" width="5.5703125" customWidth="1"/>
    <col min="19" max="19" width="12.140625" bestFit="1" customWidth="1"/>
    <col min="20" max="20" width="16.140625" bestFit="1" customWidth="1"/>
    <col min="21" max="21" width="19.28515625" bestFit="1" customWidth="1"/>
    <col min="22" max="22" width="11.28515625" bestFit="1" customWidth="1"/>
  </cols>
  <sheetData>
    <row r="1" spans="2:4" x14ac:dyDescent="0.25">
      <c r="B1" s="28" t="s">
        <v>25</v>
      </c>
      <c r="C1" t="s">
        <v>68</v>
      </c>
    </row>
    <row r="2" spans="2:4" x14ac:dyDescent="0.25">
      <c r="B2" s="28" t="s">
        <v>96</v>
      </c>
      <c r="C2" t="s">
        <v>68</v>
      </c>
    </row>
    <row r="4" spans="2:4" x14ac:dyDescent="0.25">
      <c r="B4" s="28" t="s">
        <v>97</v>
      </c>
      <c r="C4" s="28" t="s">
        <v>98</v>
      </c>
    </row>
    <row r="5" spans="2:4" x14ac:dyDescent="0.25">
      <c r="B5" s="28" t="s">
        <v>69</v>
      </c>
      <c r="C5" t="s">
        <v>71</v>
      </c>
      <c r="D5" t="s">
        <v>70</v>
      </c>
    </row>
    <row r="6" spans="2:4" x14ac:dyDescent="0.25">
      <c r="B6" s="29" t="s">
        <v>521</v>
      </c>
      <c r="C6" s="30">
        <v>291</v>
      </c>
      <c r="D6" s="30">
        <v>291</v>
      </c>
    </row>
    <row r="7" spans="2:4" x14ac:dyDescent="0.25">
      <c r="B7" s="73" t="s">
        <v>147</v>
      </c>
      <c r="C7" s="30">
        <v>291</v>
      </c>
      <c r="D7" s="30">
        <v>291</v>
      </c>
    </row>
    <row r="8" spans="2:4" x14ac:dyDescent="0.25">
      <c r="B8" s="74">
        <v>45748</v>
      </c>
      <c r="C8" s="30">
        <v>18</v>
      </c>
      <c r="D8" s="30">
        <v>18</v>
      </c>
    </row>
    <row r="9" spans="2:4" x14ac:dyDescent="0.25">
      <c r="B9" s="59" t="s">
        <v>123</v>
      </c>
      <c r="C9" s="30">
        <v>1</v>
      </c>
      <c r="D9" s="30">
        <v>1</v>
      </c>
    </row>
    <row r="10" spans="2:4" x14ac:dyDescent="0.25">
      <c r="B10" s="75" t="s">
        <v>344</v>
      </c>
      <c r="C10" s="30">
        <v>1</v>
      </c>
      <c r="D10" s="30">
        <v>1</v>
      </c>
    </row>
    <row r="11" spans="2:4" x14ac:dyDescent="0.25">
      <c r="B11" s="59" t="s">
        <v>149</v>
      </c>
      <c r="C11" s="30">
        <v>1</v>
      </c>
      <c r="D11" s="30">
        <v>1</v>
      </c>
    </row>
    <row r="12" spans="2:4" x14ac:dyDescent="0.25">
      <c r="B12" s="75" t="s">
        <v>159</v>
      </c>
      <c r="C12" s="30">
        <v>1</v>
      </c>
      <c r="D12" s="30">
        <v>1</v>
      </c>
    </row>
    <row r="13" spans="2:4" x14ac:dyDescent="0.25">
      <c r="B13" s="59" t="s">
        <v>180</v>
      </c>
      <c r="C13" s="30">
        <v>1</v>
      </c>
      <c r="D13" s="30">
        <v>1</v>
      </c>
    </row>
    <row r="14" spans="2:4" x14ac:dyDescent="0.25">
      <c r="B14" s="75" t="s">
        <v>516</v>
      </c>
      <c r="C14" s="30">
        <v>1</v>
      </c>
      <c r="D14" s="30">
        <v>1</v>
      </c>
    </row>
    <row r="15" spans="2:4" x14ac:dyDescent="0.25">
      <c r="B15" s="59" t="s">
        <v>183</v>
      </c>
      <c r="C15" s="30">
        <v>1</v>
      </c>
      <c r="D15" s="30">
        <v>1</v>
      </c>
    </row>
    <row r="16" spans="2:4" x14ac:dyDescent="0.25">
      <c r="B16" s="75" t="s">
        <v>195</v>
      </c>
      <c r="C16" s="30">
        <v>1</v>
      </c>
      <c r="D16" s="30">
        <v>1</v>
      </c>
    </row>
    <row r="17" spans="2:4" x14ac:dyDescent="0.25">
      <c r="B17" s="59" t="s">
        <v>198</v>
      </c>
      <c r="C17" s="30">
        <v>1</v>
      </c>
      <c r="D17" s="30">
        <v>1</v>
      </c>
    </row>
    <row r="18" spans="2:4" x14ac:dyDescent="0.25">
      <c r="B18" s="75" t="s">
        <v>407</v>
      </c>
      <c r="C18" s="30">
        <v>1</v>
      </c>
      <c r="D18" s="30">
        <v>1</v>
      </c>
    </row>
    <row r="19" spans="2:4" x14ac:dyDescent="0.25">
      <c r="B19" s="59" t="s">
        <v>210</v>
      </c>
      <c r="C19" s="30">
        <v>2</v>
      </c>
      <c r="D19" s="30">
        <v>2</v>
      </c>
    </row>
    <row r="20" spans="2:4" x14ac:dyDescent="0.25">
      <c r="B20" s="75" t="s">
        <v>311</v>
      </c>
      <c r="C20" s="30">
        <v>1</v>
      </c>
      <c r="D20" s="30">
        <v>1</v>
      </c>
    </row>
    <row r="21" spans="2:4" x14ac:dyDescent="0.25">
      <c r="B21" s="75" t="s">
        <v>312</v>
      </c>
      <c r="C21" s="30">
        <v>1</v>
      </c>
      <c r="D21" s="30">
        <v>1</v>
      </c>
    </row>
    <row r="22" spans="2:4" x14ac:dyDescent="0.25">
      <c r="B22" s="59" t="s">
        <v>215</v>
      </c>
      <c r="C22" s="30">
        <v>2</v>
      </c>
      <c r="D22" s="30">
        <v>2</v>
      </c>
    </row>
    <row r="23" spans="2:4" x14ac:dyDescent="0.25">
      <c r="B23" s="75" t="s">
        <v>216</v>
      </c>
      <c r="C23" s="30">
        <v>1</v>
      </c>
      <c r="D23" s="30">
        <v>1</v>
      </c>
    </row>
    <row r="24" spans="2:4" x14ac:dyDescent="0.25">
      <c r="B24" s="75" t="s">
        <v>404</v>
      </c>
      <c r="C24" s="30">
        <v>1</v>
      </c>
      <c r="D24" s="30">
        <v>1</v>
      </c>
    </row>
    <row r="25" spans="2:4" x14ac:dyDescent="0.25">
      <c r="B25" s="59" t="s">
        <v>223</v>
      </c>
      <c r="C25" s="30">
        <v>2</v>
      </c>
      <c r="D25" s="30">
        <v>2</v>
      </c>
    </row>
    <row r="26" spans="2:4" x14ac:dyDescent="0.25">
      <c r="B26" s="75" t="s">
        <v>405</v>
      </c>
      <c r="C26" s="30">
        <v>1</v>
      </c>
      <c r="D26" s="30">
        <v>1</v>
      </c>
    </row>
    <row r="27" spans="2:4" x14ac:dyDescent="0.25">
      <c r="B27" s="75" t="s">
        <v>454</v>
      </c>
      <c r="C27" s="30">
        <v>1</v>
      </c>
      <c r="D27" s="30">
        <v>1</v>
      </c>
    </row>
    <row r="28" spans="2:4" x14ac:dyDescent="0.25">
      <c r="B28" s="59" t="s">
        <v>253</v>
      </c>
      <c r="C28" s="30">
        <v>1</v>
      </c>
      <c r="D28" s="30">
        <v>1</v>
      </c>
    </row>
    <row r="29" spans="2:4" x14ac:dyDescent="0.25">
      <c r="B29" s="75" t="s">
        <v>476</v>
      </c>
      <c r="C29" s="30">
        <v>1</v>
      </c>
      <c r="D29" s="30">
        <v>1</v>
      </c>
    </row>
    <row r="30" spans="2:4" x14ac:dyDescent="0.25">
      <c r="B30" s="59" t="s">
        <v>263</v>
      </c>
      <c r="C30" s="30">
        <v>1</v>
      </c>
      <c r="D30" s="30">
        <v>1</v>
      </c>
    </row>
    <row r="31" spans="2:4" x14ac:dyDescent="0.25">
      <c r="B31" s="75" t="s">
        <v>305</v>
      </c>
      <c r="C31" s="30">
        <v>1</v>
      </c>
      <c r="D31" s="30">
        <v>1</v>
      </c>
    </row>
    <row r="32" spans="2:4" x14ac:dyDescent="0.25">
      <c r="B32" s="59" t="s">
        <v>290</v>
      </c>
      <c r="C32" s="30">
        <v>1</v>
      </c>
      <c r="D32" s="30">
        <v>1</v>
      </c>
    </row>
    <row r="33" spans="2:4" x14ac:dyDescent="0.25">
      <c r="B33" s="75" t="s">
        <v>401</v>
      </c>
      <c r="C33" s="30">
        <v>1</v>
      </c>
      <c r="D33" s="30">
        <v>1</v>
      </c>
    </row>
    <row r="34" spans="2:4" x14ac:dyDescent="0.25">
      <c r="B34" s="59" t="s">
        <v>297</v>
      </c>
      <c r="C34" s="30">
        <v>1</v>
      </c>
      <c r="D34" s="30">
        <v>1</v>
      </c>
    </row>
    <row r="35" spans="2:4" x14ac:dyDescent="0.25">
      <c r="B35" s="75" t="s">
        <v>298</v>
      </c>
      <c r="C35" s="30">
        <v>1</v>
      </c>
      <c r="D35" s="30">
        <v>1</v>
      </c>
    </row>
    <row r="36" spans="2:4" x14ac:dyDescent="0.25">
      <c r="B36" s="59" t="s">
        <v>320</v>
      </c>
      <c r="C36" s="30">
        <v>1</v>
      </c>
      <c r="D36" s="30">
        <v>1</v>
      </c>
    </row>
    <row r="37" spans="2:4" x14ac:dyDescent="0.25">
      <c r="B37" s="75" t="s">
        <v>485</v>
      </c>
      <c r="C37" s="30">
        <v>1</v>
      </c>
      <c r="D37" s="30">
        <v>1</v>
      </c>
    </row>
    <row r="38" spans="2:4" x14ac:dyDescent="0.25">
      <c r="B38" s="59" t="s">
        <v>338</v>
      </c>
      <c r="C38" s="30">
        <v>1</v>
      </c>
      <c r="D38" s="30">
        <v>1</v>
      </c>
    </row>
    <row r="39" spans="2:4" x14ac:dyDescent="0.25">
      <c r="B39" s="75" t="s">
        <v>340</v>
      </c>
      <c r="C39" s="30">
        <v>1</v>
      </c>
      <c r="D39" s="30">
        <v>1</v>
      </c>
    </row>
    <row r="40" spans="2:4" x14ac:dyDescent="0.25">
      <c r="B40" s="59" t="s">
        <v>350</v>
      </c>
      <c r="C40" s="30">
        <v>1</v>
      </c>
      <c r="D40" s="30">
        <v>1</v>
      </c>
    </row>
    <row r="41" spans="2:4" x14ac:dyDescent="0.25">
      <c r="B41" s="75" t="s">
        <v>466</v>
      </c>
      <c r="C41" s="30">
        <v>1</v>
      </c>
      <c r="D41" s="30">
        <v>1</v>
      </c>
    </row>
    <row r="42" spans="2:4" x14ac:dyDescent="0.25">
      <c r="B42" s="74">
        <v>45749</v>
      </c>
      <c r="C42" s="30">
        <v>16</v>
      </c>
      <c r="D42" s="30">
        <v>16</v>
      </c>
    </row>
    <row r="43" spans="2:4" x14ac:dyDescent="0.25">
      <c r="B43" s="59" t="s">
        <v>180</v>
      </c>
      <c r="C43" s="30">
        <v>3</v>
      </c>
      <c r="D43" s="30">
        <v>3</v>
      </c>
    </row>
    <row r="44" spans="2:4" x14ac:dyDescent="0.25">
      <c r="B44" s="75" t="s">
        <v>517</v>
      </c>
      <c r="C44" s="30">
        <v>1</v>
      </c>
      <c r="D44" s="30">
        <v>1</v>
      </c>
    </row>
    <row r="45" spans="2:4" x14ac:dyDescent="0.25">
      <c r="B45" s="75" t="s">
        <v>518</v>
      </c>
      <c r="C45" s="30">
        <v>1</v>
      </c>
      <c r="D45" s="30">
        <v>1</v>
      </c>
    </row>
    <row r="46" spans="2:4" x14ac:dyDescent="0.25">
      <c r="B46" s="75" t="s">
        <v>519</v>
      </c>
      <c r="C46" s="30">
        <v>1</v>
      </c>
      <c r="D46" s="30">
        <v>1</v>
      </c>
    </row>
    <row r="47" spans="2:4" x14ac:dyDescent="0.25">
      <c r="B47" s="59" t="s">
        <v>196</v>
      </c>
      <c r="C47" s="30">
        <v>1</v>
      </c>
      <c r="D47" s="30">
        <v>1</v>
      </c>
    </row>
    <row r="48" spans="2:4" x14ac:dyDescent="0.25">
      <c r="B48" s="75" t="s">
        <v>197</v>
      </c>
      <c r="C48" s="30">
        <v>1</v>
      </c>
      <c r="D48" s="30">
        <v>1</v>
      </c>
    </row>
    <row r="49" spans="2:4" x14ac:dyDescent="0.25">
      <c r="B49" s="59" t="s">
        <v>198</v>
      </c>
      <c r="C49" s="30">
        <v>1</v>
      </c>
      <c r="D49" s="30">
        <v>1</v>
      </c>
    </row>
    <row r="50" spans="2:4" x14ac:dyDescent="0.25">
      <c r="B50" s="75" t="s">
        <v>235</v>
      </c>
      <c r="C50" s="30">
        <v>1</v>
      </c>
      <c r="D50" s="30">
        <v>1</v>
      </c>
    </row>
    <row r="51" spans="2:4" x14ac:dyDescent="0.25">
      <c r="B51" s="59" t="s">
        <v>213</v>
      </c>
      <c r="C51" s="30">
        <v>1</v>
      </c>
      <c r="D51" s="30">
        <v>1</v>
      </c>
    </row>
    <row r="52" spans="2:4" x14ac:dyDescent="0.25">
      <c r="B52" s="75" t="s">
        <v>465</v>
      </c>
      <c r="C52" s="30">
        <v>1</v>
      </c>
      <c r="D52" s="30">
        <v>1</v>
      </c>
    </row>
    <row r="53" spans="2:4" x14ac:dyDescent="0.25">
      <c r="B53" s="59" t="s">
        <v>223</v>
      </c>
      <c r="C53" s="30">
        <v>1</v>
      </c>
      <c r="D53" s="30">
        <v>1</v>
      </c>
    </row>
    <row r="54" spans="2:4" x14ac:dyDescent="0.25">
      <c r="B54" s="75" t="s">
        <v>398</v>
      </c>
      <c r="C54" s="30">
        <v>1</v>
      </c>
      <c r="D54" s="30">
        <v>1</v>
      </c>
    </row>
    <row r="55" spans="2:4" x14ac:dyDescent="0.25">
      <c r="B55" s="59" t="s">
        <v>263</v>
      </c>
      <c r="C55" s="30">
        <v>2</v>
      </c>
      <c r="D55" s="30">
        <v>2</v>
      </c>
    </row>
    <row r="56" spans="2:4" x14ac:dyDescent="0.25">
      <c r="B56" s="75" t="s">
        <v>306</v>
      </c>
      <c r="C56" s="30">
        <v>1</v>
      </c>
      <c r="D56" s="30">
        <v>1</v>
      </c>
    </row>
    <row r="57" spans="2:4" x14ac:dyDescent="0.25">
      <c r="B57" s="75" t="s">
        <v>453</v>
      </c>
      <c r="C57" s="30">
        <v>1</v>
      </c>
      <c r="D57" s="30">
        <v>1</v>
      </c>
    </row>
    <row r="58" spans="2:4" x14ac:dyDescent="0.25">
      <c r="B58" s="59" t="s">
        <v>273</v>
      </c>
      <c r="C58" s="30">
        <v>1</v>
      </c>
      <c r="D58" s="30">
        <v>1</v>
      </c>
    </row>
    <row r="59" spans="2:4" x14ac:dyDescent="0.25">
      <c r="B59" s="75" t="s">
        <v>278</v>
      </c>
      <c r="C59" s="30">
        <v>1</v>
      </c>
      <c r="D59" s="30">
        <v>1</v>
      </c>
    </row>
    <row r="60" spans="2:4" x14ac:dyDescent="0.25">
      <c r="B60" s="59" t="s">
        <v>279</v>
      </c>
      <c r="C60" s="30">
        <v>1</v>
      </c>
      <c r="D60" s="30">
        <v>1</v>
      </c>
    </row>
    <row r="61" spans="2:4" x14ac:dyDescent="0.25">
      <c r="B61" s="75" t="s">
        <v>393</v>
      </c>
      <c r="C61" s="30">
        <v>1</v>
      </c>
      <c r="D61" s="30">
        <v>1</v>
      </c>
    </row>
    <row r="62" spans="2:4" x14ac:dyDescent="0.25">
      <c r="B62" s="59" t="s">
        <v>295</v>
      </c>
      <c r="C62" s="30">
        <v>1</v>
      </c>
      <c r="D62" s="30">
        <v>1</v>
      </c>
    </row>
    <row r="63" spans="2:4" x14ac:dyDescent="0.25">
      <c r="B63" s="75" t="s">
        <v>296</v>
      </c>
      <c r="C63" s="30">
        <v>1</v>
      </c>
      <c r="D63" s="30">
        <v>1</v>
      </c>
    </row>
    <row r="64" spans="2:4" x14ac:dyDescent="0.25">
      <c r="B64" s="59" t="s">
        <v>314</v>
      </c>
      <c r="C64" s="30">
        <v>1</v>
      </c>
      <c r="D64" s="30">
        <v>1</v>
      </c>
    </row>
    <row r="65" spans="2:4" x14ac:dyDescent="0.25">
      <c r="B65" s="75" t="s">
        <v>411</v>
      </c>
      <c r="C65" s="30">
        <v>1</v>
      </c>
      <c r="D65" s="30">
        <v>1</v>
      </c>
    </row>
    <row r="66" spans="2:4" x14ac:dyDescent="0.25">
      <c r="B66" s="59" t="s">
        <v>323</v>
      </c>
      <c r="C66" s="30">
        <v>1</v>
      </c>
      <c r="D66" s="30">
        <v>1</v>
      </c>
    </row>
    <row r="67" spans="2:4" x14ac:dyDescent="0.25">
      <c r="B67" s="75" t="s">
        <v>324</v>
      </c>
      <c r="C67" s="30">
        <v>1</v>
      </c>
      <c r="D67" s="30">
        <v>1</v>
      </c>
    </row>
    <row r="68" spans="2:4" x14ac:dyDescent="0.25">
      <c r="B68" s="59" t="s">
        <v>330</v>
      </c>
      <c r="C68" s="30">
        <v>1</v>
      </c>
      <c r="D68" s="30">
        <v>1</v>
      </c>
    </row>
    <row r="69" spans="2:4" x14ac:dyDescent="0.25">
      <c r="B69" s="75" t="s">
        <v>335</v>
      </c>
      <c r="C69" s="30">
        <v>1</v>
      </c>
      <c r="D69" s="30">
        <v>1</v>
      </c>
    </row>
    <row r="70" spans="2:4" x14ac:dyDescent="0.25">
      <c r="B70" s="59" t="s">
        <v>338</v>
      </c>
      <c r="C70" s="30">
        <v>1</v>
      </c>
      <c r="D70" s="30">
        <v>1</v>
      </c>
    </row>
    <row r="71" spans="2:4" x14ac:dyDescent="0.25">
      <c r="B71" s="75" t="s">
        <v>339</v>
      </c>
      <c r="C71" s="30">
        <v>1</v>
      </c>
      <c r="D71" s="30">
        <v>1</v>
      </c>
    </row>
    <row r="72" spans="2:4" x14ac:dyDescent="0.25">
      <c r="B72" s="74">
        <v>45750</v>
      </c>
      <c r="C72" s="30">
        <v>16</v>
      </c>
      <c r="D72" s="30">
        <v>16</v>
      </c>
    </row>
    <row r="73" spans="2:4" x14ac:dyDescent="0.25">
      <c r="B73" s="59" t="s">
        <v>133</v>
      </c>
      <c r="C73" s="30">
        <v>1</v>
      </c>
      <c r="D73" s="30">
        <v>1</v>
      </c>
    </row>
    <row r="74" spans="2:4" x14ac:dyDescent="0.25">
      <c r="B74" s="75" t="s">
        <v>245</v>
      </c>
      <c r="C74" s="30">
        <v>1</v>
      </c>
      <c r="D74" s="30">
        <v>1</v>
      </c>
    </row>
    <row r="75" spans="2:4" x14ac:dyDescent="0.25">
      <c r="B75" s="59" t="s">
        <v>180</v>
      </c>
      <c r="C75" s="30">
        <v>2</v>
      </c>
      <c r="D75" s="30">
        <v>2</v>
      </c>
    </row>
    <row r="76" spans="2:4" x14ac:dyDescent="0.25">
      <c r="B76" s="75" t="s">
        <v>322</v>
      </c>
      <c r="C76" s="30">
        <v>1</v>
      </c>
      <c r="D76" s="30">
        <v>1</v>
      </c>
    </row>
    <row r="77" spans="2:4" x14ac:dyDescent="0.25">
      <c r="B77" s="75" t="s">
        <v>326</v>
      </c>
      <c r="C77" s="30">
        <v>1</v>
      </c>
      <c r="D77" s="30">
        <v>1</v>
      </c>
    </row>
    <row r="78" spans="2:4" x14ac:dyDescent="0.25">
      <c r="B78" s="59" t="s">
        <v>198</v>
      </c>
      <c r="C78" s="30">
        <v>2</v>
      </c>
      <c r="D78" s="30">
        <v>2</v>
      </c>
    </row>
    <row r="79" spans="2:4" x14ac:dyDescent="0.25">
      <c r="B79" s="75" t="s">
        <v>256</v>
      </c>
      <c r="C79" s="30">
        <v>1</v>
      </c>
      <c r="D79" s="30">
        <v>1</v>
      </c>
    </row>
    <row r="80" spans="2:4" x14ac:dyDescent="0.25">
      <c r="B80" s="75" t="s">
        <v>262</v>
      </c>
      <c r="C80" s="30">
        <v>1</v>
      </c>
      <c r="D80" s="30">
        <v>1</v>
      </c>
    </row>
    <row r="81" spans="2:4" x14ac:dyDescent="0.25">
      <c r="B81" s="59" t="s">
        <v>217</v>
      </c>
      <c r="C81" s="30">
        <v>2</v>
      </c>
      <c r="D81" s="30">
        <v>2</v>
      </c>
    </row>
    <row r="82" spans="2:4" x14ac:dyDescent="0.25">
      <c r="B82" s="75" t="s">
        <v>244</v>
      </c>
      <c r="C82" s="30">
        <v>1</v>
      </c>
      <c r="D82" s="30">
        <v>1</v>
      </c>
    </row>
    <row r="83" spans="2:4" x14ac:dyDescent="0.25">
      <c r="B83" s="75" t="s">
        <v>286</v>
      </c>
      <c r="C83" s="30">
        <v>1</v>
      </c>
      <c r="D83" s="30">
        <v>1</v>
      </c>
    </row>
    <row r="84" spans="2:4" x14ac:dyDescent="0.25">
      <c r="B84" s="59" t="s">
        <v>223</v>
      </c>
      <c r="C84" s="30">
        <v>2</v>
      </c>
      <c r="D84" s="30">
        <v>2</v>
      </c>
    </row>
    <row r="85" spans="2:4" x14ac:dyDescent="0.25">
      <c r="B85" s="75" t="s">
        <v>384</v>
      </c>
      <c r="C85" s="30">
        <v>1</v>
      </c>
      <c r="D85" s="30">
        <v>1</v>
      </c>
    </row>
    <row r="86" spans="2:4" x14ac:dyDescent="0.25">
      <c r="B86" s="75" t="s">
        <v>452</v>
      </c>
      <c r="C86" s="30">
        <v>1</v>
      </c>
      <c r="D86" s="30">
        <v>1</v>
      </c>
    </row>
    <row r="87" spans="2:4" x14ac:dyDescent="0.25">
      <c r="B87" s="59" t="s">
        <v>233</v>
      </c>
      <c r="C87" s="30">
        <v>1</v>
      </c>
      <c r="D87" s="30">
        <v>1</v>
      </c>
    </row>
    <row r="88" spans="2:4" x14ac:dyDescent="0.25">
      <c r="B88" s="75" t="s">
        <v>412</v>
      </c>
      <c r="C88" s="30">
        <v>1</v>
      </c>
      <c r="D88" s="30">
        <v>1</v>
      </c>
    </row>
    <row r="89" spans="2:4" x14ac:dyDescent="0.25">
      <c r="B89" s="59" t="s">
        <v>246</v>
      </c>
      <c r="C89" s="30">
        <v>2</v>
      </c>
      <c r="D89" s="30">
        <v>2</v>
      </c>
    </row>
    <row r="90" spans="2:4" x14ac:dyDescent="0.25">
      <c r="B90" s="75" t="s">
        <v>247</v>
      </c>
      <c r="C90" s="30">
        <v>1</v>
      </c>
      <c r="D90" s="30">
        <v>1</v>
      </c>
    </row>
    <row r="91" spans="2:4" x14ac:dyDescent="0.25">
      <c r="B91" s="75" t="s">
        <v>248</v>
      </c>
      <c r="C91" s="30">
        <v>1</v>
      </c>
      <c r="D91" s="30">
        <v>1</v>
      </c>
    </row>
    <row r="92" spans="2:4" x14ac:dyDescent="0.25">
      <c r="B92" s="59" t="s">
        <v>263</v>
      </c>
      <c r="C92" s="30">
        <v>1</v>
      </c>
      <c r="D92" s="30">
        <v>1</v>
      </c>
    </row>
    <row r="93" spans="2:4" x14ac:dyDescent="0.25">
      <c r="B93" s="75" t="s">
        <v>443</v>
      </c>
      <c r="C93" s="30">
        <v>1</v>
      </c>
      <c r="D93" s="30">
        <v>1</v>
      </c>
    </row>
    <row r="94" spans="2:4" x14ac:dyDescent="0.25">
      <c r="B94" s="59" t="s">
        <v>279</v>
      </c>
      <c r="C94" s="30">
        <v>1</v>
      </c>
      <c r="D94" s="30">
        <v>1</v>
      </c>
    </row>
    <row r="95" spans="2:4" x14ac:dyDescent="0.25">
      <c r="B95" s="75" t="s">
        <v>392</v>
      </c>
      <c r="C95" s="30">
        <v>1</v>
      </c>
      <c r="D95" s="30">
        <v>1</v>
      </c>
    </row>
    <row r="96" spans="2:4" x14ac:dyDescent="0.25">
      <c r="B96" s="59" t="s">
        <v>314</v>
      </c>
      <c r="C96" s="30">
        <v>1</v>
      </c>
      <c r="D96" s="30">
        <v>1</v>
      </c>
    </row>
    <row r="97" spans="2:4" x14ac:dyDescent="0.25">
      <c r="B97" s="75" t="s">
        <v>458</v>
      </c>
      <c r="C97" s="30">
        <v>1</v>
      </c>
      <c r="D97" s="30">
        <v>1</v>
      </c>
    </row>
    <row r="98" spans="2:4" x14ac:dyDescent="0.25">
      <c r="B98" s="59" t="s">
        <v>330</v>
      </c>
      <c r="C98" s="30">
        <v>1</v>
      </c>
      <c r="D98" s="30">
        <v>1</v>
      </c>
    </row>
    <row r="99" spans="2:4" x14ac:dyDescent="0.25">
      <c r="B99" s="75" t="s">
        <v>432</v>
      </c>
      <c r="C99" s="30">
        <v>1</v>
      </c>
      <c r="D99" s="30">
        <v>1</v>
      </c>
    </row>
    <row r="100" spans="2:4" x14ac:dyDescent="0.25">
      <c r="B100" s="74">
        <v>45751</v>
      </c>
      <c r="C100" s="30">
        <v>15</v>
      </c>
      <c r="D100" s="30">
        <v>15</v>
      </c>
    </row>
    <row r="101" spans="2:4" x14ac:dyDescent="0.25">
      <c r="B101" s="59" t="s">
        <v>149</v>
      </c>
      <c r="C101" s="30">
        <v>1</v>
      </c>
      <c r="D101" s="30">
        <v>1</v>
      </c>
    </row>
    <row r="102" spans="2:4" x14ac:dyDescent="0.25">
      <c r="B102" s="75" t="s">
        <v>168</v>
      </c>
      <c r="C102" s="30">
        <v>1</v>
      </c>
      <c r="D102" s="30">
        <v>1</v>
      </c>
    </row>
    <row r="103" spans="2:4" x14ac:dyDescent="0.25">
      <c r="B103" s="59" t="s">
        <v>196</v>
      </c>
      <c r="C103" s="30">
        <v>1</v>
      </c>
      <c r="D103" s="30">
        <v>1</v>
      </c>
    </row>
    <row r="104" spans="2:4" x14ac:dyDescent="0.25">
      <c r="B104" s="75" t="s">
        <v>471</v>
      </c>
      <c r="C104" s="30">
        <v>1</v>
      </c>
      <c r="D104" s="30">
        <v>1</v>
      </c>
    </row>
    <row r="105" spans="2:4" x14ac:dyDescent="0.25">
      <c r="B105" s="59" t="s">
        <v>217</v>
      </c>
      <c r="C105" s="30">
        <v>1</v>
      </c>
      <c r="D105" s="30">
        <v>1</v>
      </c>
    </row>
    <row r="106" spans="2:4" x14ac:dyDescent="0.25">
      <c r="B106" s="75" t="s">
        <v>218</v>
      </c>
      <c r="C106" s="30">
        <v>1</v>
      </c>
      <c r="D106" s="30">
        <v>1</v>
      </c>
    </row>
    <row r="107" spans="2:4" x14ac:dyDescent="0.25">
      <c r="B107" s="59" t="s">
        <v>220</v>
      </c>
      <c r="C107" s="30">
        <v>1</v>
      </c>
      <c r="D107" s="30">
        <v>1</v>
      </c>
    </row>
    <row r="108" spans="2:4" x14ac:dyDescent="0.25">
      <c r="B108" s="75" t="s">
        <v>484</v>
      </c>
      <c r="C108" s="30">
        <v>1</v>
      </c>
      <c r="D108" s="30">
        <v>1</v>
      </c>
    </row>
    <row r="109" spans="2:4" x14ac:dyDescent="0.25">
      <c r="B109" s="59" t="s">
        <v>230</v>
      </c>
      <c r="C109" s="30">
        <v>1</v>
      </c>
      <c r="D109" s="30">
        <v>1</v>
      </c>
    </row>
    <row r="110" spans="2:4" x14ac:dyDescent="0.25">
      <c r="B110" s="75" t="s">
        <v>503</v>
      </c>
      <c r="C110" s="30">
        <v>1</v>
      </c>
      <c r="D110" s="30">
        <v>1</v>
      </c>
    </row>
    <row r="111" spans="2:4" x14ac:dyDescent="0.25">
      <c r="B111" s="59" t="s">
        <v>253</v>
      </c>
      <c r="C111" s="30">
        <v>2</v>
      </c>
      <c r="D111" s="30">
        <v>2</v>
      </c>
    </row>
    <row r="112" spans="2:4" x14ac:dyDescent="0.25">
      <c r="B112" s="75" t="s">
        <v>259</v>
      </c>
      <c r="C112" s="30">
        <v>1</v>
      </c>
      <c r="D112" s="30">
        <v>1</v>
      </c>
    </row>
    <row r="113" spans="2:4" x14ac:dyDescent="0.25">
      <c r="B113" s="75" t="s">
        <v>283</v>
      </c>
      <c r="C113" s="30">
        <v>1</v>
      </c>
      <c r="D113" s="30">
        <v>1</v>
      </c>
    </row>
    <row r="114" spans="2:4" x14ac:dyDescent="0.25">
      <c r="B114" s="59" t="s">
        <v>257</v>
      </c>
      <c r="C114" s="30">
        <v>1</v>
      </c>
      <c r="D114" s="30">
        <v>1</v>
      </c>
    </row>
    <row r="115" spans="2:4" x14ac:dyDescent="0.25">
      <c r="B115" s="75" t="s">
        <v>258</v>
      </c>
      <c r="C115" s="30">
        <v>1</v>
      </c>
      <c r="D115" s="30">
        <v>1</v>
      </c>
    </row>
    <row r="116" spans="2:4" x14ac:dyDescent="0.25">
      <c r="B116" s="59" t="s">
        <v>273</v>
      </c>
      <c r="C116" s="30">
        <v>1</v>
      </c>
      <c r="D116" s="30">
        <v>1</v>
      </c>
    </row>
    <row r="117" spans="2:4" x14ac:dyDescent="0.25">
      <c r="B117" s="75" t="s">
        <v>483</v>
      </c>
      <c r="C117" s="30">
        <v>1</v>
      </c>
      <c r="D117" s="30">
        <v>1</v>
      </c>
    </row>
    <row r="118" spans="2:4" x14ac:dyDescent="0.25">
      <c r="B118" s="59" t="s">
        <v>290</v>
      </c>
      <c r="C118" s="30">
        <v>3</v>
      </c>
      <c r="D118" s="30">
        <v>3</v>
      </c>
    </row>
    <row r="119" spans="2:4" x14ac:dyDescent="0.25">
      <c r="B119" s="75" t="s">
        <v>442</v>
      </c>
      <c r="C119" s="30">
        <v>1</v>
      </c>
      <c r="D119" s="30">
        <v>1</v>
      </c>
    </row>
    <row r="120" spans="2:4" x14ac:dyDescent="0.25">
      <c r="B120" s="75" t="s">
        <v>494</v>
      </c>
      <c r="C120" s="30">
        <v>1</v>
      </c>
      <c r="D120" s="30">
        <v>1</v>
      </c>
    </row>
    <row r="121" spans="2:4" x14ac:dyDescent="0.25">
      <c r="B121" s="75" t="s">
        <v>509</v>
      </c>
      <c r="C121" s="30">
        <v>1</v>
      </c>
      <c r="D121" s="30">
        <v>1</v>
      </c>
    </row>
    <row r="122" spans="2:4" x14ac:dyDescent="0.25">
      <c r="B122" s="59" t="s">
        <v>314</v>
      </c>
      <c r="C122" s="30">
        <v>1</v>
      </c>
      <c r="D122" s="30">
        <v>1</v>
      </c>
    </row>
    <row r="123" spans="2:4" x14ac:dyDescent="0.25">
      <c r="B123" s="75" t="s">
        <v>315</v>
      </c>
      <c r="C123" s="30">
        <v>1</v>
      </c>
      <c r="D123" s="30">
        <v>1</v>
      </c>
    </row>
    <row r="124" spans="2:4" x14ac:dyDescent="0.25">
      <c r="B124" s="59" t="s">
        <v>338</v>
      </c>
      <c r="C124" s="30">
        <v>1</v>
      </c>
      <c r="D124" s="30">
        <v>1</v>
      </c>
    </row>
    <row r="125" spans="2:4" x14ac:dyDescent="0.25">
      <c r="B125" s="75" t="s">
        <v>341</v>
      </c>
      <c r="C125" s="30">
        <v>1</v>
      </c>
      <c r="D125" s="30">
        <v>1</v>
      </c>
    </row>
    <row r="126" spans="2:4" x14ac:dyDescent="0.25">
      <c r="B126" s="59" t="s">
        <v>448</v>
      </c>
      <c r="C126" s="30">
        <v>1</v>
      </c>
      <c r="D126" s="30">
        <v>1</v>
      </c>
    </row>
    <row r="127" spans="2:4" x14ac:dyDescent="0.25">
      <c r="B127" s="75" t="s">
        <v>449</v>
      </c>
      <c r="C127" s="30">
        <v>1</v>
      </c>
      <c r="D127" s="30">
        <v>1</v>
      </c>
    </row>
    <row r="128" spans="2:4" x14ac:dyDescent="0.25">
      <c r="B128" s="74">
        <v>45754</v>
      </c>
      <c r="C128" s="30">
        <v>23</v>
      </c>
      <c r="D128" s="30">
        <v>23</v>
      </c>
    </row>
    <row r="129" spans="2:4" x14ac:dyDescent="0.25">
      <c r="B129" s="59" t="s">
        <v>133</v>
      </c>
      <c r="C129" s="30">
        <v>1</v>
      </c>
      <c r="D129" s="30">
        <v>1</v>
      </c>
    </row>
    <row r="130" spans="2:4" x14ac:dyDescent="0.25">
      <c r="B130" s="75" t="s">
        <v>265</v>
      </c>
      <c r="C130" s="30">
        <v>1</v>
      </c>
      <c r="D130" s="30">
        <v>1</v>
      </c>
    </row>
    <row r="131" spans="2:4" x14ac:dyDescent="0.25">
      <c r="B131" s="59" t="s">
        <v>149</v>
      </c>
      <c r="C131" s="30">
        <v>2</v>
      </c>
      <c r="D131" s="30">
        <v>2</v>
      </c>
    </row>
    <row r="132" spans="2:4" x14ac:dyDescent="0.25">
      <c r="B132" s="75" t="s">
        <v>169</v>
      </c>
      <c r="C132" s="30">
        <v>1</v>
      </c>
      <c r="D132" s="30">
        <v>1</v>
      </c>
    </row>
    <row r="133" spans="2:4" x14ac:dyDescent="0.25">
      <c r="B133" s="75" t="s">
        <v>170</v>
      </c>
      <c r="C133" s="30">
        <v>1</v>
      </c>
      <c r="D133" s="30">
        <v>1</v>
      </c>
    </row>
    <row r="134" spans="2:4" x14ac:dyDescent="0.25">
      <c r="B134" s="59" t="s">
        <v>180</v>
      </c>
      <c r="C134" s="30">
        <v>1</v>
      </c>
      <c r="D134" s="30">
        <v>1</v>
      </c>
    </row>
    <row r="135" spans="2:4" x14ac:dyDescent="0.25">
      <c r="B135" s="75" t="s">
        <v>182</v>
      </c>
      <c r="C135" s="30">
        <v>1</v>
      </c>
      <c r="D135" s="30">
        <v>1</v>
      </c>
    </row>
    <row r="136" spans="2:4" x14ac:dyDescent="0.25">
      <c r="B136" s="59" t="s">
        <v>183</v>
      </c>
      <c r="C136" s="30">
        <v>1</v>
      </c>
      <c r="D136" s="30">
        <v>1</v>
      </c>
    </row>
    <row r="137" spans="2:4" x14ac:dyDescent="0.25">
      <c r="B137" s="75" t="s">
        <v>184</v>
      </c>
      <c r="C137" s="30">
        <v>1</v>
      </c>
      <c r="D137" s="30">
        <v>1</v>
      </c>
    </row>
    <row r="138" spans="2:4" x14ac:dyDescent="0.25">
      <c r="B138" s="59" t="s">
        <v>190</v>
      </c>
      <c r="C138" s="30">
        <v>1</v>
      </c>
      <c r="D138" s="30">
        <v>1</v>
      </c>
    </row>
    <row r="139" spans="2:4" x14ac:dyDescent="0.25">
      <c r="B139" s="75" t="s">
        <v>310</v>
      </c>
      <c r="C139" s="30">
        <v>1</v>
      </c>
      <c r="D139" s="30">
        <v>1</v>
      </c>
    </row>
    <row r="140" spans="2:4" x14ac:dyDescent="0.25">
      <c r="B140" s="59" t="s">
        <v>198</v>
      </c>
      <c r="C140" s="30">
        <v>1</v>
      </c>
      <c r="D140" s="30">
        <v>1</v>
      </c>
    </row>
    <row r="141" spans="2:4" x14ac:dyDescent="0.25">
      <c r="B141" s="75" t="s">
        <v>266</v>
      </c>
      <c r="C141" s="30">
        <v>1</v>
      </c>
      <c r="D141" s="30">
        <v>1</v>
      </c>
    </row>
    <row r="142" spans="2:4" x14ac:dyDescent="0.25">
      <c r="B142" s="59" t="s">
        <v>200</v>
      </c>
      <c r="C142" s="30">
        <v>3</v>
      </c>
      <c r="D142" s="30">
        <v>3</v>
      </c>
    </row>
    <row r="143" spans="2:4" x14ac:dyDescent="0.25">
      <c r="B143" s="75" t="s">
        <v>201</v>
      </c>
      <c r="C143" s="30">
        <v>1</v>
      </c>
      <c r="D143" s="30">
        <v>1</v>
      </c>
    </row>
    <row r="144" spans="2:4" x14ac:dyDescent="0.25">
      <c r="B144" s="75" t="s">
        <v>202</v>
      </c>
      <c r="C144" s="30">
        <v>1</v>
      </c>
      <c r="D144" s="30">
        <v>1</v>
      </c>
    </row>
    <row r="145" spans="2:4" x14ac:dyDescent="0.25">
      <c r="B145" s="75" t="s">
        <v>414</v>
      </c>
      <c r="C145" s="30">
        <v>1</v>
      </c>
      <c r="D145" s="30">
        <v>1</v>
      </c>
    </row>
    <row r="146" spans="2:4" x14ac:dyDescent="0.25">
      <c r="B146" s="59" t="s">
        <v>215</v>
      </c>
      <c r="C146" s="30">
        <v>1</v>
      </c>
      <c r="D146" s="30">
        <v>1</v>
      </c>
    </row>
    <row r="147" spans="2:4" x14ac:dyDescent="0.25">
      <c r="B147" s="75" t="s">
        <v>402</v>
      </c>
      <c r="C147" s="30">
        <v>1</v>
      </c>
      <c r="D147" s="30">
        <v>1</v>
      </c>
    </row>
    <row r="148" spans="2:4" x14ac:dyDescent="0.25">
      <c r="B148" s="59" t="s">
        <v>223</v>
      </c>
      <c r="C148" s="30">
        <v>1</v>
      </c>
      <c r="D148" s="30">
        <v>1</v>
      </c>
    </row>
    <row r="149" spans="2:4" x14ac:dyDescent="0.25">
      <c r="B149" s="75" t="s">
        <v>385</v>
      </c>
      <c r="C149" s="30">
        <v>1</v>
      </c>
      <c r="D149" s="30">
        <v>1</v>
      </c>
    </row>
    <row r="150" spans="2:4" x14ac:dyDescent="0.25">
      <c r="B150" s="59" t="s">
        <v>230</v>
      </c>
      <c r="C150" s="30">
        <v>3</v>
      </c>
      <c r="D150" s="30">
        <v>3</v>
      </c>
    </row>
    <row r="151" spans="2:4" x14ac:dyDescent="0.25">
      <c r="B151" s="75" t="s">
        <v>420</v>
      </c>
      <c r="C151" s="30">
        <v>1</v>
      </c>
      <c r="D151" s="30">
        <v>1</v>
      </c>
    </row>
    <row r="152" spans="2:4" x14ac:dyDescent="0.25">
      <c r="B152" s="75" t="s">
        <v>422</v>
      </c>
      <c r="C152" s="30">
        <v>1</v>
      </c>
      <c r="D152" s="30">
        <v>1</v>
      </c>
    </row>
    <row r="153" spans="2:4" x14ac:dyDescent="0.25">
      <c r="B153" s="75" t="s">
        <v>424</v>
      </c>
      <c r="C153" s="30">
        <v>1</v>
      </c>
      <c r="D153" s="30">
        <v>1</v>
      </c>
    </row>
    <row r="154" spans="2:4" x14ac:dyDescent="0.25">
      <c r="B154" s="59" t="s">
        <v>246</v>
      </c>
      <c r="C154" s="30">
        <v>2</v>
      </c>
      <c r="D154" s="30">
        <v>2</v>
      </c>
    </row>
    <row r="155" spans="2:4" x14ac:dyDescent="0.25">
      <c r="B155" s="75" t="s">
        <v>260</v>
      </c>
      <c r="C155" s="30">
        <v>1</v>
      </c>
      <c r="D155" s="30">
        <v>1</v>
      </c>
    </row>
    <row r="156" spans="2:4" x14ac:dyDescent="0.25">
      <c r="B156" s="75" t="s">
        <v>333</v>
      </c>
      <c r="C156" s="30">
        <v>1</v>
      </c>
      <c r="D156" s="30">
        <v>1</v>
      </c>
    </row>
    <row r="157" spans="2:4" x14ac:dyDescent="0.25">
      <c r="B157" s="59" t="s">
        <v>253</v>
      </c>
      <c r="C157" s="30">
        <v>2</v>
      </c>
      <c r="D157" s="30">
        <v>2</v>
      </c>
    </row>
    <row r="158" spans="2:4" x14ac:dyDescent="0.25">
      <c r="B158" s="75" t="s">
        <v>386</v>
      </c>
      <c r="C158" s="30">
        <v>1</v>
      </c>
      <c r="D158" s="30">
        <v>1</v>
      </c>
    </row>
    <row r="159" spans="2:4" x14ac:dyDescent="0.25">
      <c r="B159" s="75" t="s">
        <v>387</v>
      </c>
      <c r="C159" s="30">
        <v>1</v>
      </c>
      <c r="D159" s="30">
        <v>1</v>
      </c>
    </row>
    <row r="160" spans="2:4" x14ac:dyDescent="0.25">
      <c r="B160" s="59" t="s">
        <v>263</v>
      </c>
      <c r="C160" s="30">
        <v>1</v>
      </c>
      <c r="D160" s="30">
        <v>1</v>
      </c>
    </row>
    <row r="161" spans="2:4" x14ac:dyDescent="0.25">
      <c r="B161" s="75" t="s">
        <v>264</v>
      </c>
      <c r="C161" s="30">
        <v>1</v>
      </c>
      <c r="D161" s="30">
        <v>1</v>
      </c>
    </row>
    <row r="162" spans="2:4" x14ac:dyDescent="0.25">
      <c r="B162" s="59" t="s">
        <v>279</v>
      </c>
      <c r="C162" s="30">
        <v>1</v>
      </c>
      <c r="D162" s="30">
        <v>1</v>
      </c>
    </row>
    <row r="163" spans="2:4" x14ac:dyDescent="0.25">
      <c r="B163" s="75" t="s">
        <v>281</v>
      </c>
      <c r="C163" s="30">
        <v>1</v>
      </c>
      <c r="D163" s="30">
        <v>1</v>
      </c>
    </row>
    <row r="164" spans="2:4" x14ac:dyDescent="0.25">
      <c r="B164" s="59" t="s">
        <v>290</v>
      </c>
      <c r="C164" s="30">
        <v>1</v>
      </c>
      <c r="D164" s="30">
        <v>1</v>
      </c>
    </row>
    <row r="165" spans="2:4" x14ac:dyDescent="0.25">
      <c r="B165" s="75" t="s">
        <v>345</v>
      </c>
      <c r="C165" s="30">
        <v>1</v>
      </c>
      <c r="D165" s="30">
        <v>1</v>
      </c>
    </row>
    <row r="166" spans="2:4" x14ac:dyDescent="0.25">
      <c r="B166" s="59" t="s">
        <v>368</v>
      </c>
      <c r="C166" s="30">
        <v>1</v>
      </c>
      <c r="D166" s="30">
        <v>1</v>
      </c>
    </row>
    <row r="167" spans="2:4" x14ac:dyDescent="0.25">
      <c r="B167" s="75" t="s">
        <v>389</v>
      </c>
      <c r="C167" s="30">
        <v>1</v>
      </c>
      <c r="D167" s="30">
        <v>1</v>
      </c>
    </row>
    <row r="168" spans="2:4" x14ac:dyDescent="0.25">
      <c r="B168" s="74">
        <v>45755</v>
      </c>
      <c r="C168" s="30">
        <v>15</v>
      </c>
      <c r="D168" s="30">
        <v>15</v>
      </c>
    </row>
    <row r="169" spans="2:4" x14ac:dyDescent="0.25">
      <c r="B169" s="59" t="s">
        <v>133</v>
      </c>
      <c r="C169" s="30">
        <v>2</v>
      </c>
      <c r="D169" s="30">
        <v>2</v>
      </c>
    </row>
    <row r="170" spans="2:4" x14ac:dyDescent="0.25">
      <c r="B170" s="75" t="s">
        <v>268</v>
      </c>
      <c r="C170" s="30">
        <v>1</v>
      </c>
      <c r="D170" s="30">
        <v>1</v>
      </c>
    </row>
    <row r="171" spans="2:4" x14ac:dyDescent="0.25">
      <c r="B171" s="75" t="s">
        <v>271</v>
      </c>
      <c r="C171" s="30">
        <v>1</v>
      </c>
      <c r="D171" s="30">
        <v>1</v>
      </c>
    </row>
    <row r="172" spans="2:4" x14ac:dyDescent="0.25">
      <c r="B172" s="59" t="s">
        <v>180</v>
      </c>
      <c r="C172" s="30">
        <v>1</v>
      </c>
      <c r="D172" s="30">
        <v>1</v>
      </c>
    </row>
    <row r="173" spans="2:4" x14ac:dyDescent="0.25">
      <c r="B173" s="75" t="s">
        <v>269</v>
      </c>
      <c r="C173" s="30">
        <v>1</v>
      </c>
      <c r="D173" s="30">
        <v>1</v>
      </c>
    </row>
    <row r="174" spans="2:4" x14ac:dyDescent="0.25">
      <c r="B174" s="59" t="s">
        <v>183</v>
      </c>
      <c r="C174" s="30">
        <v>1</v>
      </c>
      <c r="D174" s="30">
        <v>1</v>
      </c>
    </row>
    <row r="175" spans="2:4" x14ac:dyDescent="0.25">
      <c r="B175" s="75" t="s">
        <v>470</v>
      </c>
      <c r="C175" s="30">
        <v>1</v>
      </c>
      <c r="D175" s="30">
        <v>1</v>
      </c>
    </row>
    <row r="176" spans="2:4" x14ac:dyDescent="0.25">
      <c r="B176" s="59" t="s">
        <v>223</v>
      </c>
      <c r="C176" s="30">
        <v>1</v>
      </c>
      <c r="D176" s="30">
        <v>1</v>
      </c>
    </row>
    <row r="177" spans="2:4" x14ac:dyDescent="0.25">
      <c r="B177" s="75" t="s">
        <v>434</v>
      </c>
      <c r="C177" s="30">
        <v>1</v>
      </c>
      <c r="D177" s="30">
        <v>1</v>
      </c>
    </row>
    <row r="178" spans="2:4" x14ac:dyDescent="0.25">
      <c r="B178" s="59" t="s">
        <v>230</v>
      </c>
      <c r="C178" s="30">
        <v>2</v>
      </c>
      <c r="D178" s="30">
        <v>2</v>
      </c>
    </row>
    <row r="179" spans="2:4" x14ac:dyDescent="0.25">
      <c r="B179" s="75" t="s">
        <v>423</v>
      </c>
      <c r="C179" s="30">
        <v>1</v>
      </c>
      <c r="D179" s="30">
        <v>1</v>
      </c>
    </row>
    <row r="180" spans="2:4" x14ac:dyDescent="0.25">
      <c r="B180" s="75" t="s">
        <v>425</v>
      </c>
      <c r="C180" s="30">
        <v>1</v>
      </c>
      <c r="D180" s="30">
        <v>1</v>
      </c>
    </row>
    <row r="181" spans="2:4" x14ac:dyDescent="0.25">
      <c r="B181" s="59" t="s">
        <v>290</v>
      </c>
      <c r="C181" s="30">
        <v>1</v>
      </c>
      <c r="D181" s="30">
        <v>1</v>
      </c>
    </row>
    <row r="182" spans="2:4" x14ac:dyDescent="0.25">
      <c r="B182" s="75" t="s">
        <v>492</v>
      </c>
      <c r="C182" s="30">
        <v>1</v>
      </c>
      <c r="D182" s="30">
        <v>1</v>
      </c>
    </row>
    <row r="183" spans="2:4" x14ac:dyDescent="0.25">
      <c r="B183" s="59" t="s">
        <v>327</v>
      </c>
      <c r="C183" s="30">
        <v>4</v>
      </c>
      <c r="D183" s="30">
        <v>4</v>
      </c>
    </row>
    <row r="184" spans="2:4" x14ac:dyDescent="0.25">
      <c r="B184" s="75" t="s">
        <v>328</v>
      </c>
      <c r="C184" s="30">
        <v>1</v>
      </c>
      <c r="D184" s="30">
        <v>1</v>
      </c>
    </row>
    <row r="185" spans="2:4" x14ac:dyDescent="0.25">
      <c r="B185" s="75" t="s">
        <v>329</v>
      </c>
      <c r="C185" s="30">
        <v>1</v>
      </c>
      <c r="D185" s="30">
        <v>1</v>
      </c>
    </row>
    <row r="186" spans="2:4" x14ac:dyDescent="0.25">
      <c r="B186" s="75" t="s">
        <v>334</v>
      </c>
      <c r="C186" s="30">
        <v>1</v>
      </c>
      <c r="D186" s="30">
        <v>1</v>
      </c>
    </row>
    <row r="187" spans="2:4" x14ac:dyDescent="0.25">
      <c r="B187" s="75" t="s">
        <v>508</v>
      </c>
      <c r="C187" s="30">
        <v>1</v>
      </c>
      <c r="D187" s="30">
        <v>1</v>
      </c>
    </row>
    <row r="188" spans="2:4" x14ac:dyDescent="0.25">
      <c r="B188" s="59" t="s">
        <v>347</v>
      </c>
      <c r="C188" s="30">
        <v>1</v>
      </c>
      <c r="D188" s="30">
        <v>1</v>
      </c>
    </row>
    <row r="189" spans="2:4" x14ac:dyDescent="0.25">
      <c r="B189" s="75" t="s">
        <v>388</v>
      </c>
      <c r="C189" s="30">
        <v>1</v>
      </c>
      <c r="D189" s="30">
        <v>1</v>
      </c>
    </row>
    <row r="190" spans="2:4" x14ac:dyDescent="0.25">
      <c r="B190" s="59" t="s">
        <v>368</v>
      </c>
      <c r="C190" s="30">
        <v>1</v>
      </c>
      <c r="D190" s="30">
        <v>1</v>
      </c>
    </row>
    <row r="191" spans="2:4" x14ac:dyDescent="0.25">
      <c r="B191" s="75" t="s">
        <v>481</v>
      </c>
      <c r="C191" s="30">
        <v>1</v>
      </c>
      <c r="D191" s="30">
        <v>1</v>
      </c>
    </row>
    <row r="192" spans="2:4" x14ac:dyDescent="0.25">
      <c r="B192" s="59" t="s">
        <v>444</v>
      </c>
      <c r="C192" s="30">
        <v>1</v>
      </c>
      <c r="D192" s="30">
        <v>1</v>
      </c>
    </row>
    <row r="193" spans="2:4" x14ac:dyDescent="0.25">
      <c r="B193" s="75" t="s">
        <v>445</v>
      </c>
      <c r="C193" s="30">
        <v>1</v>
      </c>
      <c r="D193" s="30">
        <v>1</v>
      </c>
    </row>
    <row r="194" spans="2:4" x14ac:dyDescent="0.25">
      <c r="B194" s="74">
        <v>45756</v>
      </c>
      <c r="C194" s="30">
        <v>16</v>
      </c>
      <c r="D194" s="30">
        <v>16</v>
      </c>
    </row>
    <row r="195" spans="2:4" x14ac:dyDescent="0.25">
      <c r="B195" s="59" t="s">
        <v>149</v>
      </c>
      <c r="C195" s="30">
        <v>2</v>
      </c>
      <c r="D195" s="30">
        <v>2</v>
      </c>
    </row>
    <row r="196" spans="2:4" x14ac:dyDescent="0.25">
      <c r="B196" s="75" t="s">
        <v>150</v>
      </c>
      <c r="C196" s="30">
        <v>1</v>
      </c>
      <c r="D196" s="30">
        <v>1</v>
      </c>
    </row>
    <row r="197" spans="2:4" x14ac:dyDescent="0.25">
      <c r="B197" s="75" t="s">
        <v>171</v>
      </c>
      <c r="C197" s="30">
        <v>1</v>
      </c>
      <c r="D197" s="30">
        <v>1</v>
      </c>
    </row>
    <row r="198" spans="2:4" x14ac:dyDescent="0.25">
      <c r="B198" s="59" t="s">
        <v>183</v>
      </c>
      <c r="C198" s="30">
        <v>1</v>
      </c>
      <c r="D198" s="30">
        <v>1</v>
      </c>
    </row>
    <row r="199" spans="2:4" x14ac:dyDescent="0.25">
      <c r="B199" s="75" t="s">
        <v>188</v>
      </c>
      <c r="C199" s="30">
        <v>1</v>
      </c>
      <c r="D199" s="30">
        <v>1</v>
      </c>
    </row>
    <row r="200" spans="2:4" x14ac:dyDescent="0.25">
      <c r="B200" s="59" t="s">
        <v>210</v>
      </c>
      <c r="C200" s="30">
        <v>1</v>
      </c>
      <c r="D200" s="30">
        <v>1</v>
      </c>
    </row>
    <row r="201" spans="2:4" x14ac:dyDescent="0.25">
      <c r="B201" s="75" t="s">
        <v>415</v>
      </c>
      <c r="C201" s="30">
        <v>1</v>
      </c>
      <c r="D201" s="30">
        <v>1</v>
      </c>
    </row>
    <row r="202" spans="2:4" x14ac:dyDescent="0.25">
      <c r="B202" s="59" t="s">
        <v>215</v>
      </c>
      <c r="C202" s="30">
        <v>1</v>
      </c>
      <c r="D202" s="30">
        <v>1</v>
      </c>
    </row>
    <row r="203" spans="2:4" x14ac:dyDescent="0.25">
      <c r="B203" s="75" t="s">
        <v>391</v>
      </c>
      <c r="C203" s="30">
        <v>1</v>
      </c>
      <c r="D203" s="30">
        <v>1</v>
      </c>
    </row>
    <row r="204" spans="2:4" x14ac:dyDescent="0.25">
      <c r="B204" s="59" t="s">
        <v>223</v>
      </c>
      <c r="C204" s="30">
        <v>1</v>
      </c>
      <c r="D204" s="30">
        <v>1</v>
      </c>
    </row>
    <row r="205" spans="2:4" x14ac:dyDescent="0.25">
      <c r="B205" s="75" t="s">
        <v>272</v>
      </c>
      <c r="C205" s="30">
        <v>1</v>
      </c>
      <c r="D205" s="30">
        <v>1</v>
      </c>
    </row>
    <row r="206" spans="2:4" x14ac:dyDescent="0.25">
      <c r="B206" s="59" t="s">
        <v>230</v>
      </c>
      <c r="C206" s="30">
        <v>3</v>
      </c>
      <c r="D206" s="30">
        <v>3</v>
      </c>
    </row>
    <row r="207" spans="2:4" x14ac:dyDescent="0.25">
      <c r="B207" s="75" t="s">
        <v>430</v>
      </c>
      <c r="C207" s="30">
        <v>1</v>
      </c>
      <c r="D207" s="30">
        <v>1</v>
      </c>
    </row>
    <row r="208" spans="2:4" x14ac:dyDescent="0.25">
      <c r="B208" s="75" t="s">
        <v>504</v>
      </c>
      <c r="C208" s="30">
        <v>1</v>
      </c>
      <c r="D208" s="30">
        <v>1</v>
      </c>
    </row>
    <row r="209" spans="2:4" x14ac:dyDescent="0.25">
      <c r="B209" s="75" t="s">
        <v>505</v>
      </c>
      <c r="C209" s="30">
        <v>1</v>
      </c>
      <c r="D209" s="30">
        <v>1</v>
      </c>
    </row>
    <row r="210" spans="2:4" x14ac:dyDescent="0.25">
      <c r="B210" s="59" t="s">
        <v>233</v>
      </c>
      <c r="C210" s="30">
        <v>2</v>
      </c>
      <c r="D210" s="30">
        <v>2</v>
      </c>
    </row>
    <row r="211" spans="2:4" x14ac:dyDescent="0.25">
      <c r="B211" s="75" t="s">
        <v>267</v>
      </c>
      <c r="C211" s="30">
        <v>1</v>
      </c>
      <c r="D211" s="30">
        <v>1</v>
      </c>
    </row>
    <row r="212" spans="2:4" x14ac:dyDescent="0.25">
      <c r="B212" s="75" t="s">
        <v>349</v>
      </c>
      <c r="C212" s="30">
        <v>1</v>
      </c>
      <c r="D212" s="30">
        <v>1</v>
      </c>
    </row>
    <row r="213" spans="2:4" x14ac:dyDescent="0.25">
      <c r="B213" s="59" t="s">
        <v>246</v>
      </c>
      <c r="C213" s="30">
        <v>2</v>
      </c>
      <c r="D213" s="30">
        <v>2</v>
      </c>
    </row>
    <row r="214" spans="2:4" x14ac:dyDescent="0.25">
      <c r="B214" s="75" t="s">
        <v>390</v>
      </c>
      <c r="C214" s="30">
        <v>1</v>
      </c>
      <c r="D214" s="30">
        <v>1</v>
      </c>
    </row>
    <row r="215" spans="2:4" x14ac:dyDescent="0.25">
      <c r="B215" s="75" t="s">
        <v>477</v>
      </c>
      <c r="C215" s="30">
        <v>1</v>
      </c>
      <c r="D215" s="30">
        <v>1</v>
      </c>
    </row>
    <row r="216" spans="2:4" x14ac:dyDescent="0.25">
      <c r="B216" s="59" t="s">
        <v>263</v>
      </c>
      <c r="C216" s="30">
        <v>1</v>
      </c>
      <c r="D216" s="30">
        <v>1</v>
      </c>
    </row>
    <row r="217" spans="2:4" x14ac:dyDescent="0.25">
      <c r="B217" s="75" t="s">
        <v>433</v>
      </c>
      <c r="C217" s="30">
        <v>1</v>
      </c>
      <c r="D217" s="30">
        <v>1</v>
      </c>
    </row>
    <row r="218" spans="2:4" x14ac:dyDescent="0.25">
      <c r="B218" s="59" t="s">
        <v>273</v>
      </c>
      <c r="C218" s="30">
        <v>1</v>
      </c>
      <c r="D218" s="30">
        <v>1</v>
      </c>
    </row>
    <row r="219" spans="2:4" x14ac:dyDescent="0.25">
      <c r="B219" s="75" t="s">
        <v>482</v>
      </c>
      <c r="C219" s="30">
        <v>1</v>
      </c>
      <c r="D219" s="30">
        <v>1</v>
      </c>
    </row>
    <row r="220" spans="2:4" x14ac:dyDescent="0.25">
      <c r="B220" s="59" t="s">
        <v>323</v>
      </c>
      <c r="C220" s="30">
        <v>1</v>
      </c>
      <c r="D220" s="30">
        <v>1</v>
      </c>
    </row>
    <row r="221" spans="2:4" x14ac:dyDescent="0.25">
      <c r="B221" s="75" t="s">
        <v>486</v>
      </c>
      <c r="C221" s="30">
        <v>1</v>
      </c>
      <c r="D221" s="30">
        <v>1</v>
      </c>
    </row>
    <row r="222" spans="2:4" x14ac:dyDescent="0.25">
      <c r="B222" s="74">
        <v>45757</v>
      </c>
      <c r="C222" s="30">
        <v>11</v>
      </c>
      <c r="D222" s="30">
        <v>11</v>
      </c>
    </row>
    <row r="223" spans="2:4" x14ac:dyDescent="0.25">
      <c r="B223" s="59" t="s">
        <v>133</v>
      </c>
      <c r="C223" s="30">
        <v>1</v>
      </c>
      <c r="D223" s="30">
        <v>1</v>
      </c>
    </row>
    <row r="224" spans="2:4" x14ac:dyDescent="0.25">
      <c r="B224" s="75" t="s">
        <v>219</v>
      </c>
      <c r="C224" s="30">
        <v>1</v>
      </c>
      <c r="D224" s="30">
        <v>1</v>
      </c>
    </row>
    <row r="225" spans="2:4" x14ac:dyDescent="0.25">
      <c r="B225" s="59" t="s">
        <v>149</v>
      </c>
      <c r="C225" s="30">
        <v>1</v>
      </c>
      <c r="D225" s="30">
        <v>1</v>
      </c>
    </row>
    <row r="226" spans="2:4" x14ac:dyDescent="0.25">
      <c r="B226" s="75" t="s">
        <v>152</v>
      </c>
      <c r="C226" s="30">
        <v>1</v>
      </c>
      <c r="D226" s="30">
        <v>1</v>
      </c>
    </row>
    <row r="227" spans="2:4" x14ac:dyDescent="0.25">
      <c r="B227" s="59" t="s">
        <v>215</v>
      </c>
      <c r="C227" s="30">
        <v>1</v>
      </c>
      <c r="D227" s="30">
        <v>1</v>
      </c>
    </row>
    <row r="228" spans="2:4" x14ac:dyDescent="0.25">
      <c r="B228" s="75" t="s">
        <v>356</v>
      </c>
      <c r="C228" s="30">
        <v>1</v>
      </c>
      <c r="D228" s="30">
        <v>1</v>
      </c>
    </row>
    <row r="229" spans="2:4" x14ac:dyDescent="0.25">
      <c r="B229" s="59" t="s">
        <v>223</v>
      </c>
      <c r="C229" s="30">
        <v>1</v>
      </c>
      <c r="D229" s="30">
        <v>1</v>
      </c>
    </row>
    <row r="230" spans="2:4" x14ac:dyDescent="0.25">
      <c r="B230" s="75" t="s">
        <v>355</v>
      </c>
      <c r="C230" s="30">
        <v>1</v>
      </c>
      <c r="D230" s="30">
        <v>1</v>
      </c>
    </row>
    <row r="231" spans="2:4" x14ac:dyDescent="0.25">
      <c r="B231" s="59" t="s">
        <v>279</v>
      </c>
      <c r="C231" s="30">
        <v>2</v>
      </c>
      <c r="D231" s="30">
        <v>2</v>
      </c>
    </row>
    <row r="232" spans="2:4" x14ac:dyDescent="0.25">
      <c r="B232" s="75" t="s">
        <v>280</v>
      </c>
      <c r="C232" s="30">
        <v>1</v>
      </c>
      <c r="D232" s="30">
        <v>1</v>
      </c>
    </row>
    <row r="233" spans="2:4" x14ac:dyDescent="0.25">
      <c r="B233" s="75" t="s">
        <v>282</v>
      </c>
      <c r="C233" s="30">
        <v>1</v>
      </c>
      <c r="D233" s="30">
        <v>1</v>
      </c>
    </row>
    <row r="234" spans="2:4" x14ac:dyDescent="0.25">
      <c r="B234" s="59" t="s">
        <v>314</v>
      </c>
      <c r="C234" s="30">
        <v>1</v>
      </c>
      <c r="D234" s="30">
        <v>1</v>
      </c>
    </row>
    <row r="235" spans="2:4" x14ac:dyDescent="0.25">
      <c r="B235" s="75" t="s">
        <v>446</v>
      </c>
      <c r="C235" s="30">
        <v>1</v>
      </c>
      <c r="D235" s="30">
        <v>1</v>
      </c>
    </row>
    <row r="236" spans="2:4" x14ac:dyDescent="0.25">
      <c r="B236" s="59" t="s">
        <v>323</v>
      </c>
      <c r="C236" s="30">
        <v>1</v>
      </c>
      <c r="D236" s="30">
        <v>1</v>
      </c>
    </row>
    <row r="237" spans="2:4" x14ac:dyDescent="0.25">
      <c r="B237" s="75" t="s">
        <v>325</v>
      </c>
      <c r="C237" s="30">
        <v>1</v>
      </c>
      <c r="D237" s="30">
        <v>1</v>
      </c>
    </row>
    <row r="238" spans="2:4" x14ac:dyDescent="0.25">
      <c r="B238" s="59" t="s">
        <v>347</v>
      </c>
      <c r="C238" s="30">
        <v>1</v>
      </c>
      <c r="D238" s="30">
        <v>1</v>
      </c>
    </row>
    <row r="239" spans="2:4" x14ac:dyDescent="0.25">
      <c r="B239" s="75" t="s">
        <v>348</v>
      </c>
      <c r="C239" s="30">
        <v>1</v>
      </c>
      <c r="D239" s="30">
        <v>1</v>
      </c>
    </row>
    <row r="240" spans="2:4" x14ac:dyDescent="0.25">
      <c r="B240" s="59" t="s">
        <v>350</v>
      </c>
      <c r="C240" s="30">
        <v>1</v>
      </c>
      <c r="D240" s="30">
        <v>1</v>
      </c>
    </row>
    <row r="241" spans="2:4" x14ac:dyDescent="0.25">
      <c r="B241" s="75" t="s">
        <v>351</v>
      </c>
      <c r="C241" s="30">
        <v>1</v>
      </c>
      <c r="D241" s="30">
        <v>1</v>
      </c>
    </row>
    <row r="242" spans="2:4" x14ac:dyDescent="0.25">
      <c r="B242" s="59" t="s">
        <v>460</v>
      </c>
      <c r="C242" s="30">
        <v>1</v>
      </c>
      <c r="D242" s="30">
        <v>1</v>
      </c>
    </row>
    <row r="243" spans="2:4" x14ac:dyDescent="0.25">
      <c r="B243" s="75" t="s">
        <v>461</v>
      </c>
      <c r="C243" s="30">
        <v>1</v>
      </c>
      <c r="D243" s="30">
        <v>1</v>
      </c>
    </row>
    <row r="244" spans="2:4" x14ac:dyDescent="0.25">
      <c r="B244" s="74">
        <v>45758</v>
      </c>
      <c r="C244" s="30">
        <v>20</v>
      </c>
      <c r="D244" s="30">
        <v>20</v>
      </c>
    </row>
    <row r="245" spans="2:4" x14ac:dyDescent="0.25">
      <c r="B245" s="59" t="s">
        <v>149</v>
      </c>
      <c r="C245" s="30">
        <v>1</v>
      </c>
      <c r="D245" s="30">
        <v>1</v>
      </c>
    </row>
    <row r="246" spans="2:4" x14ac:dyDescent="0.25">
      <c r="B246" s="75" t="s">
        <v>152</v>
      </c>
      <c r="C246" s="30">
        <v>1</v>
      </c>
      <c r="D246" s="30">
        <v>1</v>
      </c>
    </row>
    <row r="247" spans="2:4" x14ac:dyDescent="0.25">
      <c r="B247" s="59" t="s">
        <v>183</v>
      </c>
      <c r="C247" s="30">
        <v>1</v>
      </c>
      <c r="D247" s="30">
        <v>1</v>
      </c>
    </row>
    <row r="248" spans="2:4" x14ac:dyDescent="0.25">
      <c r="B248" s="75" t="s">
        <v>185</v>
      </c>
      <c r="C248" s="30">
        <v>1</v>
      </c>
      <c r="D248" s="30">
        <v>1</v>
      </c>
    </row>
    <row r="249" spans="2:4" x14ac:dyDescent="0.25">
      <c r="B249" s="59" t="s">
        <v>190</v>
      </c>
      <c r="C249" s="30">
        <v>1</v>
      </c>
      <c r="D249" s="30">
        <v>1</v>
      </c>
    </row>
    <row r="250" spans="2:4" x14ac:dyDescent="0.25">
      <c r="B250" s="75" t="s">
        <v>307</v>
      </c>
      <c r="C250" s="30">
        <v>1</v>
      </c>
      <c r="D250" s="30">
        <v>1</v>
      </c>
    </row>
    <row r="251" spans="2:4" x14ac:dyDescent="0.25">
      <c r="B251" s="59" t="s">
        <v>198</v>
      </c>
      <c r="C251" s="30">
        <v>1</v>
      </c>
      <c r="D251" s="30">
        <v>1</v>
      </c>
    </row>
    <row r="252" spans="2:4" x14ac:dyDescent="0.25">
      <c r="B252" s="75" t="s">
        <v>478</v>
      </c>
      <c r="C252" s="30">
        <v>1</v>
      </c>
      <c r="D252" s="30">
        <v>1</v>
      </c>
    </row>
    <row r="253" spans="2:4" x14ac:dyDescent="0.25">
      <c r="B253" s="59" t="s">
        <v>200</v>
      </c>
      <c r="C253" s="30">
        <v>1</v>
      </c>
      <c r="D253" s="30">
        <v>1</v>
      </c>
    </row>
    <row r="254" spans="2:4" x14ac:dyDescent="0.25">
      <c r="B254" s="75" t="s">
        <v>204</v>
      </c>
      <c r="C254" s="30">
        <v>1</v>
      </c>
      <c r="D254" s="30">
        <v>1</v>
      </c>
    </row>
    <row r="255" spans="2:4" x14ac:dyDescent="0.25">
      <c r="B255" s="59" t="s">
        <v>210</v>
      </c>
      <c r="C255" s="30">
        <v>2</v>
      </c>
      <c r="D255" s="30">
        <v>2</v>
      </c>
    </row>
    <row r="256" spans="2:4" x14ac:dyDescent="0.25">
      <c r="B256" s="75" t="s">
        <v>337</v>
      </c>
      <c r="C256" s="30">
        <v>1</v>
      </c>
      <c r="D256" s="30">
        <v>1</v>
      </c>
    </row>
    <row r="257" spans="2:4" x14ac:dyDescent="0.25">
      <c r="B257" s="75" t="s">
        <v>498</v>
      </c>
      <c r="C257" s="30">
        <v>1</v>
      </c>
      <c r="D257" s="30">
        <v>1</v>
      </c>
    </row>
    <row r="258" spans="2:4" x14ac:dyDescent="0.25">
      <c r="B258" s="59" t="s">
        <v>220</v>
      </c>
      <c r="C258" s="30">
        <v>1</v>
      </c>
      <c r="D258" s="30">
        <v>1</v>
      </c>
    </row>
    <row r="259" spans="2:4" x14ac:dyDescent="0.25">
      <c r="B259" s="75" t="s">
        <v>221</v>
      </c>
      <c r="C259" s="30">
        <v>1</v>
      </c>
      <c r="D259" s="30">
        <v>1</v>
      </c>
    </row>
    <row r="260" spans="2:4" x14ac:dyDescent="0.25">
      <c r="B260" s="59" t="s">
        <v>223</v>
      </c>
      <c r="C260" s="30">
        <v>5</v>
      </c>
      <c r="D260" s="30">
        <v>5</v>
      </c>
    </row>
    <row r="261" spans="2:4" x14ac:dyDescent="0.25">
      <c r="B261" s="75" t="s">
        <v>224</v>
      </c>
      <c r="C261" s="30">
        <v>1</v>
      </c>
      <c r="D261" s="30">
        <v>1</v>
      </c>
    </row>
    <row r="262" spans="2:4" x14ac:dyDescent="0.25">
      <c r="B262" s="75" t="s">
        <v>354</v>
      </c>
      <c r="C262" s="30">
        <v>1</v>
      </c>
      <c r="D262" s="30">
        <v>1</v>
      </c>
    </row>
    <row r="263" spans="2:4" x14ac:dyDescent="0.25">
      <c r="B263" s="75" t="s">
        <v>358</v>
      </c>
      <c r="C263" s="30">
        <v>1</v>
      </c>
      <c r="D263" s="30">
        <v>1</v>
      </c>
    </row>
    <row r="264" spans="2:4" x14ac:dyDescent="0.25">
      <c r="B264" s="75" t="s">
        <v>359</v>
      </c>
      <c r="C264" s="30">
        <v>1</v>
      </c>
      <c r="D264" s="30">
        <v>1</v>
      </c>
    </row>
    <row r="265" spans="2:4" x14ac:dyDescent="0.25">
      <c r="B265" s="75" t="s">
        <v>488</v>
      </c>
      <c r="C265" s="30">
        <v>1</v>
      </c>
      <c r="D265" s="30">
        <v>1</v>
      </c>
    </row>
    <row r="266" spans="2:4" x14ac:dyDescent="0.25">
      <c r="B266" s="59" t="s">
        <v>257</v>
      </c>
      <c r="C266" s="30">
        <v>1</v>
      </c>
      <c r="D266" s="30">
        <v>1</v>
      </c>
    </row>
    <row r="267" spans="2:4" x14ac:dyDescent="0.25">
      <c r="B267" s="75" t="s">
        <v>352</v>
      </c>
      <c r="C267" s="30">
        <v>1</v>
      </c>
      <c r="D267" s="30">
        <v>1</v>
      </c>
    </row>
    <row r="268" spans="2:4" x14ac:dyDescent="0.25">
      <c r="B268" s="59" t="s">
        <v>290</v>
      </c>
      <c r="C268" s="30">
        <v>2</v>
      </c>
      <c r="D268" s="30">
        <v>2</v>
      </c>
    </row>
    <row r="269" spans="2:4" x14ac:dyDescent="0.25">
      <c r="B269" s="75" t="s">
        <v>346</v>
      </c>
      <c r="C269" s="30">
        <v>1</v>
      </c>
      <c r="D269" s="30">
        <v>1</v>
      </c>
    </row>
    <row r="270" spans="2:4" x14ac:dyDescent="0.25">
      <c r="B270" s="75" t="s">
        <v>493</v>
      </c>
      <c r="C270" s="30">
        <v>1</v>
      </c>
      <c r="D270" s="30">
        <v>1</v>
      </c>
    </row>
    <row r="271" spans="2:4" x14ac:dyDescent="0.25">
      <c r="B271" s="59" t="s">
        <v>314</v>
      </c>
      <c r="C271" s="30">
        <v>1</v>
      </c>
      <c r="D271" s="30">
        <v>1</v>
      </c>
    </row>
    <row r="272" spans="2:4" x14ac:dyDescent="0.25">
      <c r="B272" s="75" t="s">
        <v>315</v>
      </c>
      <c r="C272" s="30">
        <v>1</v>
      </c>
      <c r="D272" s="30">
        <v>1</v>
      </c>
    </row>
    <row r="273" spans="2:4" x14ac:dyDescent="0.25">
      <c r="B273" s="59" t="s">
        <v>330</v>
      </c>
      <c r="C273" s="30">
        <v>1</v>
      </c>
      <c r="D273" s="30">
        <v>1</v>
      </c>
    </row>
    <row r="274" spans="2:4" x14ac:dyDescent="0.25">
      <c r="B274" s="75" t="s">
        <v>331</v>
      </c>
      <c r="C274" s="30">
        <v>1</v>
      </c>
      <c r="D274" s="30">
        <v>1</v>
      </c>
    </row>
    <row r="275" spans="2:4" x14ac:dyDescent="0.25">
      <c r="B275" s="59" t="s">
        <v>347</v>
      </c>
      <c r="C275" s="30">
        <v>1</v>
      </c>
      <c r="D275" s="30">
        <v>1</v>
      </c>
    </row>
    <row r="276" spans="2:4" x14ac:dyDescent="0.25">
      <c r="B276" s="75" t="s">
        <v>353</v>
      </c>
      <c r="C276" s="30">
        <v>1</v>
      </c>
      <c r="D276" s="30">
        <v>1</v>
      </c>
    </row>
    <row r="277" spans="2:4" x14ac:dyDescent="0.25">
      <c r="B277" s="59" t="s">
        <v>467</v>
      </c>
      <c r="C277" s="30">
        <v>1</v>
      </c>
      <c r="D277" s="30">
        <v>1</v>
      </c>
    </row>
    <row r="278" spans="2:4" x14ac:dyDescent="0.25">
      <c r="B278" s="75" t="s">
        <v>468</v>
      </c>
      <c r="C278" s="30">
        <v>1</v>
      </c>
      <c r="D278" s="30">
        <v>1</v>
      </c>
    </row>
    <row r="279" spans="2:4" x14ac:dyDescent="0.25">
      <c r="B279" s="74">
        <v>45761</v>
      </c>
      <c r="C279" s="30">
        <v>12</v>
      </c>
      <c r="D279" s="30">
        <v>12</v>
      </c>
    </row>
    <row r="280" spans="2:4" x14ac:dyDescent="0.25">
      <c r="B280" s="59" t="s">
        <v>138</v>
      </c>
      <c r="C280" s="30">
        <v>1</v>
      </c>
      <c r="D280" s="30">
        <v>1</v>
      </c>
    </row>
    <row r="281" spans="2:4" x14ac:dyDescent="0.25">
      <c r="B281" s="75" t="s">
        <v>360</v>
      </c>
      <c r="C281" s="30">
        <v>1</v>
      </c>
      <c r="D281" s="30">
        <v>1</v>
      </c>
    </row>
    <row r="282" spans="2:4" x14ac:dyDescent="0.25">
      <c r="B282" s="59" t="s">
        <v>190</v>
      </c>
      <c r="C282" s="30">
        <v>1</v>
      </c>
      <c r="D282" s="30">
        <v>1</v>
      </c>
    </row>
    <row r="283" spans="2:4" x14ac:dyDescent="0.25">
      <c r="B283" s="75" t="s">
        <v>309</v>
      </c>
      <c r="C283" s="30">
        <v>1</v>
      </c>
      <c r="D283" s="30">
        <v>1</v>
      </c>
    </row>
    <row r="284" spans="2:4" x14ac:dyDescent="0.25">
      <c r="B284" s="59" t="s">
        <v>198</v>
      </c>
      <c r="C284" s="30">
        <v>1</v>
      </c>
      <c r="D284" s="30">
        <v>1</v>
      </c>
    </row>
    <row r="285" spans="2:4" x14ac:dyDescent="0.25">
      <c r="B285" s="75" t="s">
        <v>227</v>
      </c>
      <c r="C285" s="30">
        <v>1</v>
      </c>
      <c r="D285" s="30">
        <v>1</v>
      </c>
    </row>
    <row r="286" spans="2:4" x14ac:dyDescent="0.25">
      <c r="B286" s="59" t="s">
        <v>217</v>
      </c>
      <c r="C286" s="30">
        <v>1</v>
      </c>
      <c r="D286" s="30">
        <v>1</v>
      </c>
    </row>
    <row r="287" spans="2:4" x14ac:dyDescent="0.25">
      <c r="B287" s="75" t="s">
        <v>222</v>
      </c>
      <c r="C287" s="30">
        <v>1</v>
      </c>
      <c r="D287" s="30">
        <v>1</v>
      </c>
    </row>
    <row r="288" spans="2:4" x14ac:dyDescent="0.25">
      <c r="B288" s="59" t="s">
        <v>220</v>
      </c>
      <c r="C288" s="30">
        <v>2</v>
      </c>
      <c r="D288" s="30">
        <v>2</v>
      </c>
    </row>
    <row r="289" spans="2:4" x14ac:dyDescent="0.25">
      <c r="B289" s="75" t="s">
        <v>319</v>
      </c>
      <c r="C289" s="30">
        <v>1</v>
      </c>
      <c r="D289" s="30">
        <v>1</v>
      </c>
    </row>
    <row r="290" spans="2:4" x14ac:dyDescent="0.25">
      <c r="B290" s="75" t="s">
        <v>416</v>
      </c>
      <c r="C290" s="30">
        <v>1</v>
      </c>
      <c r="D290" s="30">
        <v>1</v>
      </c>
    </row>
    <row r="291" spans="2:4" x14ac:dyDescent="0.25">
      <c r="B291" s="59" t="s">
        <v>223</v>
      </c>
      <c r="C291" s="30">
        <v>2</v>
      </c>
      <c r="D291" s="30">
        <v>2</v>
      </c>
    </row>
    <row r="292" spans="2:4" x14ac:dyDescent="0.25">
      <c r="B292" s="75" t="s">
        <v>357</v>
      </c>
      <c r="C292" s="30">
        <v>1</v>
      </c>
      <c r="D292" s="30">
        <v>1</v>
      </c>
    </row>
    <row r="293" spans="2:4" x14ac:dyDescent="0.25">
      <c r="B293" s="75" t="s">
        <v>479</v>
      </c>
      <c r="C293" s="30">
        <v>1</v>
      </c>
      <c r="D293" s="30">
        <v>1</v>
      </c>
    </row>
    <row r="294" spans="2:4" x14ac:dyDescent="0.25">
      <c r="B294" s="59" t="s">
        <v>230</v>
      </c>
      <c r="C294" s="30">
        <v>2</v>
      </c>
      <c r="D294" s="30">
        <v>2</v>
      </c>
    </row>
    <row r="295" spans="2:4" x14ac:dyDescent="0.25">
      <c r="B295" s="75" t="s">
        <v>232</v>
      </c>
      <c r="C295" s="30">
        <v>1</v>
      </c>
      <c r="D295" s="30">
        <v>1</v>
      </c>
    </row>
    <row r="296" spans="2:4" x14ac:dyDescent="0.25">
      <c r="B296" s="75" t="s">
        <v>363</v>
      </c>
      <c r="C296" s="30">
        <v>1</v>
      </c>
      <c r="D296" s="30">
        <v>1</v>
      </c>
    </row>
    <row r="297" spans="2:4" x14ac:dyDescent="0.25">
      <c r="B297" s="59" t="s">
        <v>330</v>
      </c>
      <c r="C297" s="30">
        <v>1</v>
      </c>
      <c r="D297" s="30">
        <v>1</v>
      </c>
    </row>
    <row r="298" spans="2:4" x14ac:dyDescent="0.25">
      <c r="B298" s="75" t="s">
        <v>487</v>
      </c>
      <c r="C298" s="30">
        <v>1</v>
      </c>
      <c r="D298" s="30">
        <v>1</v>
      </c>
    </row>
    <row r="299" spans="2:4" x14ac:dyDescent="0.25">
      <c r="B299" s="59" t="s">
        <v>450</v>
      </c>
      <c r="C299" s="30">
        <v>1</v>
      </c>
      <c r="D299" s="30">
        <v>1</v>
      </c>
    </row>
    <row r="300" spans="2:4" x14ac:dyDescent="0.25">
      <c r="B300" s="75" t="s">
        <v>451</v>
      </c>
      <c r="C300" s="30">
        <v>1</v>
      </c>
      <c r="D300" s="30">
        <v>1</v>
      </c>
    </row>
    <row r="301" spans="2:4" x14ac:dyDescent="0.25">
      <c r="B301" s="74">
        <v>45762</v>
      </c>
      <c r="C301" s="30">
        <v>6</v>
      </c>
      <c r="D301" s="30">
        <v>6</v>
      </c>
    </row>
    <row r="302" spans="2:4" x14ac:dyDescent="0.25">
      <c r="B302" s="59" t="s">
        <v>123</v>
      </c>
      <c r="C302" s="30">
        <v>1</v>
      </c>
      <c r="D302" s="30">
        <v>1</v>
      </c>
    </row>
    <row r="303" spans="2:4" x14ac:dyDescent="0.25">
      <c r="B303" s="75" t="s">
        <v>366</v>
      </c>
      <c r="C303" s="30">
        <v>1</v>
      </c>
      <c r="D303" s="30">
        <v>1</v>
      </c>
    </row>
    <row r="304" spans="2:4" x14ac:dyDescent="0.25">
      <c r="B304" s="59" t="s">
        <v>149</v>
      </c>
      <c r="C304" s="30">
        <v>1</v>
      </c>
      <c r="D304" s="30">
        <v>1</v>
      </c>
    </row>
    <row r="305" spans="2:4" x14ac:dyDescent="0.25">
      <c r="B305" s="75" t="s">
        <v>155</v>
      </c>
      <c r="C305" s="30">
        <v>1</v>
      </c>
      <c r="D305" s="30">
        <v>1</v>
      </c>
    </row>
    <row r="306" spans="2:4" x14ac:dyDescent="0.25">
      <c r="B306" s="59" t="s">
        <v>215</v>
      </c>
      <c r="C306" s="30">
        <v>1</v>
      </c>
      <c r="D306" s="30">
        <v>1</v>
      </c>
    </row>
    <row r="307" spans="2:4" x14ac:dyDescent="0.25">
      <c r="B307" s="75" t="s">
        <v>367</v>
      </c>
      <c r="C307" s="30">
        <v>1</v>
      </c>
      <c r="D307" s="30">
        <v>1</v>
      </c>
    </row>
    <row r="308" spans="2:4" x14ac:dyDescent="0.25">
      <c r="B308" s="59" t="s">
        <v>220</v>
      </c>
      <c r="C308" s="30">
        <v>1</v>
      </c>
      <c r="D308" s="30">
        <v>1</v>
      </c>
    </row>
    <row r="309" spans="2:4" x14ac:dyDescent="0.25">
      <c r="B309" s="75" t="s">
        <v>229</v>
      </c>
      <c r="C309" s="30">
        <v>1</v>
      </c>
      <c r="D309" s="30">
        <v>1</v>
      </c>
    </row>
    <row r="310" spans="2:4" x14ac:dyDescent="0.25">
      <c r="B310" s="59" t="s">
        <v>230</v>
      </c>
      <c r="C310" s="30">
        <v>2</v>
      </c>
      <c r="D310" s="30">
        <v>2</v>
      </c>
    </row>
    <row r="311" spans="2:4" x14ac:dyDescent="0.25">
      <c r="B311" s="75" t="s">
        <v>499</v>
      </c>
      <c r="C311" s="30">
        <v>1</v>
      </c>
      <c r="D311" s="30">
        <v>1</v>
      </c>
    </row>
    <row r="312" spans="2:4" x14ac:dyDescent="0.25">
      <c r="B312" s="75" t="s">
        <v>501</v>
      </c>
      <c r="C312" s="30">
        <v>1</v>
      </c>
      <c r="D312" s="30">
        <v>1</v>
      </c>
    </row>
    <row r="313" spans="2:4" x14ac:dyDescent="0.25">
      <c r="B313" s="74">
        <v>45763</v>
      </c>
      <c r="C313" s="30">
        <v>10</v>
      </c>
      <c r="D313" s="30">
        <v>10</v>
      </c>
    </row>
    <row r="314" spans="2:4" x14ac:dyDescent="0.25">
      <c r="B314" s="59" t="s">
        <v>149</v>
      </c>
      <c r="C314" s="30">
        <v>1</v>
      </c>
      <c r="D314" s="30">
        <v>1</v>
      </c>
    </row>
    <row r="315" spans="2:4" x14ac:dyDescent="0.25">
      <c r="B315" s="75" t="s">
        <v>156</v>
      </c>
      <c r="C315" s="30">
        <v>1</v>
      </c>
      <c r="D315" s="30">
        <v>1</v>
      </c>
    </row>
    <row r="316" spans="2:4" x14ac:dyDescent="0.25">
      <c r="B316" s="59" t="s">
        <v>172</v>
      </c>
      <c r="C316" s="30">
        <v>1</v>
      </c>
      <c r="D316" s="30">
        <v>1</v>
      </c>
    </row>
    <row r="317" spans="2:4" x14ac:dyDescent="0.25">
      <c r="B317" s="75" t="s">
        <v>178</v>
      </c>
      <c r="C317" s="30">
        <v>1</v>
      </c>
      <c r="D317" s="30">
        <v>1</v>
      </c>
    </row>
    <row r="318" spans="2:4" x14ac:dyDescent="0.25">
      <c r="B318" s="59" t="s">
        <v>180</v>
      </c>
      <c r="C318" s="30">
        <v>2</v>
      </c>
      <c r="D318" s="30">
        <v>2</v>
      </c>
    </row>
    <row r="319" spans="2:4" x14ac:dyDescent="0.25">
      <c r="B319" s="75" t="s">
        <v>181</v>
      </c>
      <c r="C319" s="30">
        <v>1</v>
      </c>
      <c r="D319" s="30">
        <v>1</v>
      </c>
    </row>
    <row r="320" spans="2:4" x14ac:dyDescent="0.25">
      <c r="B320" s="75" t="s">
        <v>225</v>
      </c>
      <c r="C320" s="30">
        <v>1</v>
      </c>
      <c r="D320" s="30">
        <v>1</v>
      </c>
    </row>
    <row r="321" spans="2:4" x14ac:dyDescent="0.25">
      <c r="B321" s="59" t="s">
        <v>190</v>
      </c>
      <c r="C321" s="30">
        <v>1</v>
      </c>
      <c r="D321" s="30">
        <v>1</v>
      </c>
    </row>
    <row r="322" spans="2:4" x14ac:dyDescent="0.25">
      <c r="B322" s="75" t="s">
        <v>309</v>
      </c>
      <c r="C322" s="30">
        <v>1</v>
      </c>
      <c r="D322" s="30">
        <v>1</v>
      </c>
    </row>
    <row r="323" spans="2:4" x14ac:dyDescent="0.25">
      <c r="B323" s="59" t="s">
        <v>210</v>
      </c>
      <c r="C323" s="30">
        <v>1</v>
      </c>
      <c r="D323" s="30">
        <v>1</v>
      </c>
    </row>
    <row r="324" spans="2:4" x14ac:dyDescent="0.25">
      <c r="B324" s="75" t="s">
        <v>212</v>
      </c>
      <c r="C324" s="30">
        <v>1</v>
      </c>
      <c r="D324" s="30">
        <v>1</v>
      </c>
    </row>
    <row r="325" spans="2:4" x14ac:dyDescent="0.25">
      <c r="B325" s="59" t="s">
        <v>223</v>
      </c>
      <c r="C325" s="30">
        <v>2</v>
      </c>
      <c r="D325" s="30">
        <v>2</v>
      </c>
    </row>
    <row r="326" spans="2:4" x14ac:dyDescent="0.25">
      <c r="B326" s="75" t="s">
        <v>371</v>
      </c>
      <c r="C326" s="30">
        <v>1</v>
      </c>
      <c r="D326" s="30">
        <v>1</v>
      </c>
    </row>
    <row r="327" spans="2:4" x14ac:dyDescent="0.25">
      <c r="B327" s="75" t="s">
        <v>439</v>
      </c>
      <c r="C327" s="30">
        <v>1</v>
      </c>
      <c r="D327" s="30">
        <v>1</v>
      </c>
    </row>
    <row r="328" spans="2:4" x14ac:dyDescent="0.25">
      <c r="B328" s="59" t="s">
        <v>513</v>
      </c>
      <c r="C328" s="30">
        <v>2</v>
      </c>
      <c r="D328" s="30">
        <v>2</v>
      </c>
    </row>
    <row r="329" spans="2:4" x14ac:dyDescent="0.25">
      <c r="B329" s="75" t="s">
        <v>515</v>
      </c>
      <c r="C329" s="30">
        <v>1</v>
      </c>
      <c r="D329" s="30">
        <v>1</v>
      </c>
    </row>
    <row r="330" spans="2:4" x14ac:dyDescent="0.25">
      <c r="B330" s="75" t="s">
        <v>520</v>
      </c>
      <c r="C330" s="30">
        <v>1</v>
      </c>
      <c r="D330" s="30">
        <v>1</v>
      </c>
    </row>
    <row r="331" spans="2:4" x14ac:dyDescent="0.25">
      <c r="B331" s="74">
        <v>45764</v>
      </c>
      <c r="C331" s="30">
        <v>12</v>
      </c>
      <c r="D331" s="30">
        <v>12</v>
      </c>
    </row>
    <row r="332" spans="2:4" x14ac:dyDescent="0.25">
      <c r="B332" s="59" t="s">
        <v>123</v>
      </c>
      <c r="C332" s="30">
        <v>1</v>
      </c>
      <c r="D332" s="30">
        <v>1</v>
      </c>
    </row>
    <row r="333" spans="2:4" x14ac:dyDescent="0.25">
      <c r="B333" s="75" t="s">
        <v>370</v>
      </c>
      <c r="C333" s="30">
        <v>1</v>
      </c>
      <c r="D333" s="30">
        <v>1</v>
      </c>
    </row>
    <row r="334" spans="2:4" x14ac:dyDescent="0.25">
      <c r="B334" s="59" t="s">
        <v>223</v>
      </c>
      <c r="C334" s="30">
        <v>2</v>
      </c>
      <c r="D334" s="30">
        <v>2</v>
      </c>
    </row>
    <row r="335" spans="2:4" x14ac:dyDescent="0.25">
      <c r="B335" s="75" t="s">
        <v>406</v>
      </c>
      <c r="C335" s="30">
        <v>1</v>
      </c>
      <c r="D335" s="30">
        <v>1</v>
      </c>
    </row>
    <row r="336" spans="2:4" x14ac:dyDescent="0.25">
      <c r="B336" s="75" t="s">
        <v>440</v>
      </c>
      <c r="C336" s="30">
        <v>1</v>
      </c>
      <c r="D336" s="30">
        <v>1</v>
      </c>
    </row>
    <row r="337" spans="2:4" x14ac:dyDescent="0.25">
      <c r="B337" s="59" t="s">
        <v>233</v>
      </c>
      <c r="C337" s="30">
        <v>2</v>
      </c>
      <c r="D337" s="30">
        <v>2</v>
      </c>
    </row>
    <row r="338" spans="2:4" x14ac:dyDescent="0.25">
      <c r="B338" s="75" t="s">
        <v>234</v>
      </c>
      <c r="C338" s="30">
        <v>1</v>
      </c>
      <c r="D338" s="30">
        <v>1</v>
      </c>
    </row>
    <row r="339" spans="2:4" x14ac:dyDescent="0.25">
      <c r="B339" s="75" t="s">
        <v>277</v>
      </c>
      <c r="C339" s="30">
        <v>1</v>
      </c>
      <c r="D339" s="30">
        <v>1</v>
      </c>
    </row>
    <row r="340" spans="2:4" x14ac:dyDescent="0.25">
      <c r="B340" s="59" t="s">
        <v>246</v>
      </c>
      <c r="C340" s="30">
        <v>1</v>
      </c>
      <c r="D340" s="30">
        <v>1</v>
      </c>
    </row>
    <row r="341" spans="2:4" x14ac:dyDescent="0.25">
      <c r="B341" s="75" t="s">
        <v>332</v>
      </c>
      <c r="C341" s="30">
        <v>1</v>
      </c>
      <c r="D341" s="30">
        <v>1</v>
      </c>
    </row>
    <row r="342" spans="2:4" x14ac:dyDescent="0.25">
      <c r="B342" s="59" t="s">
        <v>257</v>
      </c>
      <c r="C342" s="30">
        <v>1</v>
      </c>
      <c r="D342" s="30">
        <v>1</v>
      </c>
    </row>
    <row r="343" spans="2:4" x14ac:dyDescent="0.25">
      <c r="B343" s="75" t="s">
        <v>400</v>
      </c>
      <c r="C343" s="30">
        <v>1</v>
      </c>
      <c r="D343" s="30">
        <v>1</v>
      </c>
    </row>
    <row r="344" spans="2:4" x14ac:dyDescent="0.25">
      <c r="B344" s="59" t="s">
        <v>263</v>
      </c>
      <c r="C344" s="30">
        <v>1</v>
      </c>
      <c r="D344" s="30">
        <v>1</v>
      </c>
    </row>
    <row r="345" spans="2:4" x14ac:dyDescent="0.25">
      <c r="B345" s="75" t="s">
        <v>342</v>
      </c>
      <c r="C345" s="30">
        <v>1</v>
      </c>
      <c r="D345" s="30">
        <v>1</v>
      </c>
    </row>
    <row r="346" spans="2:4" x14ac:dyDescent="0.25">
      <c r="B346" s="59" t="s">
        <v>273</v>
      </c>
      <c r="C346" s="30">
        <v>1</v>
      </c>
      <c r="D346" s="30">
        <v>1</v>
      </c>
    </row>
    <row r="347" spans="2:4" x14ac:dyDescent="0.25">
      <c r="B347" s="75" t="s">
        <v>275</v>
      </c>
      <c r="C347" s="30">
        <v>1</v>
      </c>
      <c r="D347" s="30">
        <v>1</v>
      </c>
    </row>
    <row r="348" spans="2:4" x14ac:dyDescent="0.25">
      <c r="B348" s="59" t="s">
        <v>290</v>
      </c>
      <c r="C348" s="30">
        <v>1</v>
      </c>
      <c r="D348" s="30">
        <v>1</v>
      </c>
    </row>
    <row r="349" spans="2:4" x14ac:dyDescent="0.25">
      <c r="B349" s="75" t="s">
        <v>436</v>
      </c>
      <c r="C349" s="30">
        <v>1</v>
      </c>
      <c r="D349" s="30">
        <v>1</v>
      </c>
    </row>
    <row r="350" spans="2:4" x14ac:dyDescent="0.25">
      <c r="B350" s="59" t="s">
        <v>314</v>
      </c>
      <c r="C350" s="30">
        <v>1</v>
      </c>
      <c r="D350" s="30">
        <v>1</v>
      </c>
    </row>
    <row r="351" spans="2:4" x14ac:dyDescent="0.25">
      <c r="B351" s="75" t="s">
        <v>315</v>
      </c>
      <c r="C351" s="30">
        <v>1</v>
      </c>
      <c r="D351" s="30">
        <v>1</v>
      </c>
    </row>
    <row r="352" spans="2:4" x14ac:dyDescent="0.25">
      <c r="B352" s="59" t="s">
        <v>368</v>
      </c>
      <c r="C352" s="30">
        <v>1</v>
      </c>
      <c r="D352" s="30">
        <v>1</v>
      </c>
    </row>
    <row r="353" spans="2:4" x14ac:dyDescent="0.25">
      <c r="B353" s="75" t="s">
        <v>369</v>
      </c>
      <c r="C353" s="30">
        <v>1</v>
      </c>
      <c r="D353" s="30">
        <v>1</v>
      </c>
    </row>
    <row r="354" spans="2:4" x14ac:dyDescent="0.25">
      <c r="B354" s="74">
        <v>45769</v>
      </c>
      <c r="C354" s="30">
        <v>20</v>
      </c>
      <c r="D354" s="30">
        <v>20</v>
      </c>
    </row>
    <row r="355" spans="2:4" x14ac:dyDescent="0.25">
      <c r="B355" s="59" t="s">
        <v>138</v>
      </c>
      <c r="C355" s="30">
        <v>2</v>
      </c>
      <c r="D355" s="30">
        <v>2</v>
      </c>
    </row>
    <row r="356" spans="2:4" x14ac:dyDescent="0.25">
      <c r="B356" s="75" t="s">
        <v>142</v>
      </c>
      <c r="C356" s="30">
        <v>1</v>
      </c>
      <c r="D356" s="30">
        <v>1</v>
      </c>
    </row>
    <row r="357" spans="2:4" x14ac:dyDescent="0.25">
      <c r="B357" s="75" t="s">
        <v>144</v>
      </c>
      <c r="C357" s="30">
        <v>1</v>
      </c>
      <c r="D357" s="30">
        <v>1</v>
      </c>
    </row>
    <row r="358" spans="2:4" x14ac:dyDescent="0.25">
      <c r="B358" s="59" t="s">
        <v>149</v>
      </c>
      <c r="C358" s="30">
        <v>2</v>
      </c>
      <c r="D358" s="30">
        <v>2</v>
      </c>
    </row>
    <row r="359" spans="2:4" x14ac:dyDescent="0.25">
      <c r="B359" s="75" t="s">
        <v>161</v>
      </c>
      <c r="C359" s="30">
        <v>1</v>
      </c>
      <c r="D359" s="30">
        <v>1</v>
      </c>
    </row>
    <row r="360" spans="2:4" x14ac:dyDescent="0.25">
      <c r="B360" s="75" t="s">
        <v>163</v>
      </c>
      <c r="C360" s="30">
        <v>1</v>
      </c>
      <c r="D360" s="30">
        <v>1</v>
      </c>
    </row>
    <row r="361" spans="2:4" x14ac:dyDescent="0.25">
      <c r="B361" s="59" t="s">
        <v>183</v>
      </c>
      <c r="C361" s="30">
        <v>1</v>
      </c>
      <c r="D361" s="30">
        <v>1</v>
      </c>
    </row>
    <row r="362" spans="2:4" x14ac:dyDescent="0.25">
      <c r="B362" s="75" t="s">
        <v>186</v>
      </c>
      <c r="C362" s="30">
        <v>1</v>
      </c>
      <c r="D362" s="30">
        <v>1</v>
      </c>
    </row>
    <row r="363" spans="2:4" x14ac:dyDescent="0.25">
      <c r="B363" s="59" t="s">
        <v>193</v>
      </c>
      <c r="C363" s="30">
        <v>1</v>
      </c>
      <c r="D363" s="30">
        <v>1</v>
      </c>
    </row>
    <row r="364" spans="2:4" x14ac:dyDescent="0.25">
      <c r="B364" s="75" t="s">
        <v>194</v>
      </c>
      <c r="C364" s="30">
        <v>1</v>
      </c>
      <c r="D364" s="30">
        <v>1</v>
      </c>
    </row>
    <row r="365" spans="2:4" x14ac:dyDescent="0.25">
      <c r="B365" s="59" t="s">
        <v>198</v>
      </c>
      <c r="C365" s="30">
        <v>1</v>
      </c>
      <c r="D365" s="30">
        <v>1</v>
      </c>
    </row>
    <row r="366" spans="2:4" x14ac:dyDescent="0.25">
      <c r="B366" s="75" t="s">
        <v>472</v>
      </c>
      <c r="C366" s="30">
        <v>1</v>
      </c>
      <c r="D366" s="30">
        <v>1</v>
      </c>
    </row>
    <row r="367" spans="2:4" x14ac:dyDescent="0.25">
      <c r="B367" s="59" t="s">
        <v>215</v>
      </c>
      <c r="C367" s="30">
        <v>1</v>
      </c>
      <c r="D367" s="30">
        <v>1</v>
      </c>
    </row>
    <row r="368" spans="2:4" x14ac:dyDescent="0.25">
      <c r="B368" s="75" t="s">
        <v>403</v>
      </c>
      <c r="C368" s="30">
        <v>1</v>
      </c>
      <c r="D368" s="30">
        <v>1</v>
      </c>
    </row>
    <row r="369" spans="2:4" x14ac:dyDescent="0.25">
      <c r="B369" s="59" t="s">
        <v>223</v>
      </c>
      <c r="C369" s="30">
        <v>2</v>
      </c>
      <c r="D369" s="30">
        <v>2</v>
      </c>
    </row>
    <row r="370" spans="2:4" x14ac:dyDescent="0.25">
      <c r="B370" s="75" t="s">
        <v>373</v>
      </c>
      <c r="C370" s="30">
        <v>1</v>
      </c>
      <c r="D370" s="30">
        <v>1</v>
      </c>
    </row>
    <row r="371" spans="2:4" x14ac:dyDescent="0.25">
      <c r="B371" s="75" t="s">
        <v>396</v>
      </c>
      <c r="C371" s="30">
        <v>1</v>
      </c>
      <c r="D371" s="30">
        <v>1</v>
      </c>
    </row>
    <row r="372" spans="2:4" x14ac:dyDescent="0.25">
      <c r="B372" s="59" t="s">
        <v>230</v>
      </c>
      <c r="C372" s="30">
        <v>4</v>
      </c>
      <c r="D372" s="30">
        <v>4</v>
      </c>
    </row>
    <row r="373" spans="2:4" x14ac:dyDescent="0.25">
      <c r="B373" s="75" t="s">
        <v>418</v>
      </c>
      <c r="C373" s="30">
        <v>1</v>
      </c>
      <c r="D373" s="30">
        <v>1</v>
      </c>
    </row>
    <row r="374" spans="2:4" x14ac:dyDescent="0.25">
      <c r="B374" s="75" t="s">
        <v>419</v>
      </c>
      <c r="C374" s="30">
        <v>1</v>
      </c>
      <c r="D374" s="30">
        <v>1</v>
      </c>
    </row>
    <row r="375" spans="2:4" x14ac:dyDescent="0.25">
      <c r="B375" s="75" t="s">
        <v>500</v>
      </c>
      <c r="C375" s="30">
        <v>1</v>
      </c>
      <c r="D375" s="30">
        <v>1</v>
      </c>
    </row>
    <row r="376" spans="2:4" x14ac:dyDescent="0.25">
      <c r="B376" s="75" t="s">
        <v>506</v>
      </c>
      <c r="C376" s="30">
        <v>1</v>
      </c>
      <c r="D376" s="30">
        <v>1</v>
      </c>
    </row>
    <row r="377" spans="2:4" x14ac:dyDescent="0.25">
      <c r="B377" s="59" t="s">
        <v>236</v>
      </c>
      <c r="C377" s="30">
        <v>1</v>
      </c>
      <c r="D377" s="30">
        <v>1</v>
      </c>
    </row>
    <row r="378" spans="2:4" x14ac:dyDescent="0.25">
      <c r="B378" s="75" t="s">
        <v>237</v>
      </c>
      <c r="C378" s="30">
        <v>1</v>
      </c>
      <c r="D378" s="30">
        <v>1</v>
      </c>
    </row>
    <row r="379" spans="2:4" x14ac:dyDescent="0.25">
      <c r="B379" s="59" t="s">
        <v>257</v>
      </c>
      <c r="C379" s="30">
        <v>1</v>
      </c>
      <c r="D379" s="30">
        <v>1</v>
      </c>
    </row>
    <row r="380" spans="2:4" x14ac:dyDescent="0.25">
      <c r="B380" s="75" t="s">
        <v>413</v>
      </c>
      <c r="C380" s="30">
        <v>1</v>
      </c>
      <c r="D380" s="30">
        <v>1</v>
      </c>
    </row>
    <row r="381" spans="2:4" x14ac:dyDescent="0.25">
      <c r="B381" s="59" t="s">
        <v>327</v>
      </c>
      <c r="C381" s="30">
        <v>1</v>
      </c>
      <c r="D381" s="30">
        <v>1</v>
      </c>
    </row>
    <row r="382" spans="2:4" x14ac:dyDescent="0.25">
      <c r="B382" s="75" t="s">
        <v>508</v>
      </c>
      <c r="C382" s="30">
        <v>1</v>
      </c>
      <c r="D382" s="30">
        <v>1</v>
      </c>
    </row>
    <row r="383" spans="2:4" x14ac:dyDescent="0.25">
      <c r="B383" s="59" t="s">
        <v>338</v>
      </c>
      <c r="C383" s="30">
        <v>1</v>
      </c>
      <c r="D383" s="30">
        <v>1</v>
      </c>
    </row>
    <row r="384" spans="2:4" x14ac:dyDescent="0.25">
      <c r="B384" s="75" t="s">
        <v>417</v>
      </c>
      <c r="C384" s="30">
        <v>1</v>
      </c>
      <c r="D384" s="30">
        <v>1</v>
      </c>
    </row>
    <row r="385" spans="2:4" x14ac:dyDescent="0.25">
      <c r="B385" s="59" t="s">
        <v>347</v>
      </c>
      <c r="C385" s="30">
        <v>1</v>
      </c>
      <c r="D385" s="30">
        <v>1</v>
      </c>
    </row>
    <row r="386" spans="2:4" x14ac:dyDescent="0.25">
      <c r="B386" s="75" t="s">
        <v>377</v>
      </c>
      <c r="C386" s="30">
        <v>1</v>
      </c>
      <c r="D386" s="30">
        <v>1</v>
      </c>
    </row>
    <row r="387" spans="2:4" x14ac:dyDescent="0.25">
      <c r="B387" s="59" t="s">
        <v>462</v>
      </c>
      <c r="C387" s="30">
        <v>1</v>
      </c>
      <c r="D387" s="30">
        <v>1</v>
      </c>
    </row>
    <row r="388" spans="2:4" x14ac:dyDescent="0.25">
      <c r="B388" s="75" t="s">
        <v>463</v>
      </c>
      <c r="C388" s="30">
        <v>1</v>
      </c>
      <c r="D388" s="30">
        <v>1</v>
      </c>
    </row>
    <row r="389" spans="2:4" x14ac:dyDescent="0.25">
      <c r="B389" s="74">
        <v>45770</v>
      </c>
      <c r="C389" s="30">
        <v>7</v>
      </c>
      <c r="D389" s="30">
        <v>7</v>
      </c>
    </row>
    <row r="390" spans="2:4" x14ac:dyDescent="0.25">
      <c r="B390" s="59" t="s">
        <v>149</v>
      </c>
      <c r="C390" s="30">
        <v>1</v>
      </c>
      <c r="D390" s="30">
        <v>1</v>
      </c>
    </row>
    <row r="391" spans="2:4" x14ac:dyDescent="0.25">
      <c r="B391" s="75" t="s">
        <v>165</v>
      </c>
      <c r="C391" s="30">
        <v>1</v>
      </c>
      <c r="D391" s="30">
        <v>1</v>
      </c>
    </row>
    <row r="392" spans="2:4" x14ac:dyDescent="0.25">
      <c r="B392" s="59" t="s">
        <v>215</v>
      </c>
      <c r="C392" s="30">
        <v>1</v>
      </c>
      <c r="D392" s="30">
        <v>1</v>
      </c>
    </row>
    <row r="393" spans="2:4" x14ac:dyDescent="0.25">
      <c r="B393" s="75" t="s">
        <v>375</v>
      </c>
      <c r="C393" s="30">
        <v>1</v>
      </c>
      <c r="D393" s="30">
        <v>1</v>
      </c>
    </row>
    <row r="394" spans="2:4" x14ac:dyDescent="0.25">
      <c r="B394" s="59" t="s">
        <v>220</v>
      </c>
      <c r="C394" s="30">
        <v>1</v>
      </c>
      <c r="D394" s="30">
        <v>1</v>
      </c>
    </row>
    <row r="395" spans="2:4" x14ac:dyDescent="0.25">
      <c r="B395" s="75" t="s">
        <v>238</v>
      </c>
      <c r="C395" s="30">
        <v>1</v>
      </c>
      <c r="D395" s="30">
        <v>1</v>
      </c>
    </row>
    <row r="396" spans="2:4" x14ac:dyDescent="0.25">
      <c r="B396" s="59" t="s">
        <v>230</v>
      </c>
      <c r="C396" s="30">
        <v>2</v>
      </c>
      <c r="D396" s="30">
        <v>2</v>
      </c>
    </row>
    <row r="397" spans="2:4" x14ac:dyDescent="0.25">
      <c r="B397" s="75" t="s">
        <v>378</v>
      </c>
      <c r="C397" s="30">
        <v>1</v>
      </c>
      <c r="D397" s="30">
        <v>1</v>
      </c>
    </row>
    <row r="398" spans="2:4" x14ac:dyDescent="0.25">
      <c r="B398" s="75" t="s">
        <v>502</v>
      </c>
      <c r="C398" s="30">
        <v>1</v>
      </c>
      <c r="D398" s="30">
        <v>1</v>
      </c>
    </row>
    <row r="399" spans="2:4" x14ac:dyDescent="0.25">
      <c r="B399" s="59" t="s">
        <v>273</v>
      </c>
      <c r="C399" s="30">
        <v>1</v>
      </c>
      <c r="D399" s="30">
        <v>1</v>
      </c>
    </row>
    <row r="400" spans="2:4" x14ac:dyDescent="0.25">
      <c r="B400" s="75" t="s">
        <v>276</v>
      </c>
      <c r="C400" s="30">
        <v>1</v>
      </c>
      <c r="D400" s="30">
        <v>1</v>
      </c>
    </row>
    <row r="401" spans="2:4" x14ac:dyDescent="0.25">
      <c r="B401" s="59" t="s">
        <v>290</v>
      </c>
      <c r="C401" s="30">
        <v>1</v>
      </c>
      <c r="D401" s="30">
        <v>1</v>
      </c>
    </row>
    <row r="402" spans="2:4" x14ac:dyDescent="0.25">
      <c r="B402" s="75" t="s">
        <v>365</v>
      </c>
      <c r="C402" s="30">
        <v>1</v>
      </c>
      <c r="D402" s="30">
        <v>1</v>
      </c>
    </row>
    <row r="403" spans="2:4" x14ac:dyDescent="0.25">
      <c r="B403" s="74">
        <v>45771</v>
      </c>
      <c r="C403" s="30">
        <v>12</v>
      </c>
      <c r="D403" s="30">
        <v>12</v>
      </c>
    </row>
    <row r="404" spans="2:4" x14ac:dyDescent="0.25">
      <c r="B404" s="59" t="s">
        <v>133</v>
      </c>
      <c r="C404" s="30">
        <v>1</v>
      </c>
      <c r="D404" s="30">
        <v>1</v>
      </c>
    </row>
    <row r="405" spans="2:4" x14ac:dyDescent="0.25">
      <c r="B405" s="75" t="s">
        <v>135</v>
      </c>
      <c r="C405" s="30">
        <v>1</v>
      </c>
      <c r="D405" s="30">
        <v>1</v>
      </c>
    </row>
    <row r="406" spans="2:4" x14ac:dyDescent="0.25">
      <c r="B406" s="59" t="s">
        <v>138</v>
      </c>
      <c r="C406" s="30">
        <v>1</v>
      </c>
      <c r="D406" s="30">
        <v>1</v>
      </c>
    </row>
    <row r="407" spans="2:4" x14ac:dyDescent="0.25">
      <c r="B407" s="75" t="s">
        <v>140</v>
      </c>
      <c r="C407" s="30">
        <v>1</v>
      </c>
      <c r="D407" s="30">
        <v>1</v>
      </c>
    </row>
    <row r="408" spans="2:4" x14ac:dyDescent="0.25">
      <c r="B408" s="59" t="s">
        <v>198</v>
      </c>
      <c r="C408" s="30">
        <v>1</v>
      </c>
      <c r="D408" s="30">
        <v>1</v>
      </c>
    </row>
    <row r="409" spans="2:4" x14ac:dyDescent="0.25">
      <c r="B409" s="75" t="s">
        <v>435</v>
      </c>
      <c r="C409" s="30">
        <v>1</v>
      </c>
      <c r="D409" s="30">
        <v>1</v>
      </c>
    </row>
    <row r="410" spans="2:4" x14ac:dyDescent="0.25">
      <c r="B410" s="59" t="s">
        <v>200</v>
      </c>
      <c r="C410" s="30">
        <v>1</v>
      </c>
      <c r="D410" s="30">
        <v>1</v>
      </c>
    </row>
    <row r="411" spans="2:4" x14ac:dyDescent="0.25">
      <c r="B411" s="75" t="s">
        <v>205</v>
      </c>
      <c r="C411" s="30">
        <v>1</v>
      </c>
      <c r="D411" s="30">
        <v>1</v>
      </c>
    </row>
    <row r="412" spans="2:4" x14ac:dyDescent="0.25">
      <c r="B412" s="59" t="s">
        <v>213</v>
      </c>
      <c r="C412" s="30">
        <v>1</v>
      </c>
      <c r="D412" s="30">
        <v>1</v>
      </c>
    </row>
    <row r="413" spans="2:4" x14ac:dyDescent="0.25">
      <c r="B413" s="75" t="s">
        <v>214</v>
      </c>
      <c r="C413" s="30">
        <v>1</v>
      </c>
      <c r="D413" s="30">
        <v>1</v>
      </c>
    </row>
    <row r="414" spans="2:4" x14ac:dyDescent="0.25">
      <c r="B414" s="59" t="s">
        <v>217</v>
      </c>
      <c r="C414" s="30">
        <v>1</v>
      </c>
      <c r="D414" s="30">
        <v>1</v>
      </c>
    </row>
    <row r="415" spans="2:4" x14ac:dyDescent="0.25">
      <c r="B415" s="75" t="s">
        <v>243</v>
      </c>
      <c r="C415" s="30">
        <v>1</v>
      </c>
      <c r="D415" s="30">
        <v>1</v>
      </c>
    </row>
    <row r="416" spans="2:4" x14ac:dyDescent="0.25">
      <c r="B416" s="59" t="s">
        <v>223</v>
      </c>
      <c r="C416" s="30">
        <v>4</v>
      </c>
      <c r="D416" s="30">
        <v>4</v>
      </c>
    </row>
    <row r="417" spans="2:4" x14ac:dyDescent="0.25">
      <c r="B417" s="75" t="s">
        <v>437</v>
      </c>
      <c r="C417" s="30">
        <v>1</v>
      </c>
      <c r="D417" s="30">
        <v>1</v>
      </c>
    </row>
    <row r="418" spans="2:4" x14ac:dyDescent="0.25">
      <c r="B418" s="75" t="s">
        <v>438</v>
      </c>
      <c r="C418" s="30">
        <v>1</v>
      </c>
      <c r="D418" s="30">
        <v>1</v>
      </c>
    </row>
    <row r="419" spans="2:4" x14ac:dyDescent="0.25">
      <c r="B419" s="75" t="s">
        <v>441</v>
      </c>
      <c r="C419" s="30">
        <v>1</v>
      </c>
      <c r="D419" s="30">
        <v>1</v>
      </c>
    </row>
    <row r="420" spans="2:4" x14ac:dyDescent="0.25">
      <c r="B420" s="75" t="s">
        <v>510</v>
      </c>
      <c r="C420" s="30">
        <v>1</v>
      </c>
      <c r="D420" s="30">
        <v>1</v>
      </c>
    </row>
    <row r="421" spans="2:4" x14ac:dyDescent="0.25">
      <c r="B421" s="59" t="s">
        <v>273</v>
      </c>
      <c r="C421" s="30">
        <v>1</v>
      </c>
      <c r="D421" s="30">
        <v>1</v>
      </c>
    </row>
    <row r="422" spans="2:4" x14ac:dyDescent="0.25">
      <c r="B422" s="75" t="s">
        <v>512</v>
      </c>
      <c r="C422" s="30">
        <v>1</v>
      </c>
      <c r="D422" s="30">
        <v>1</v>
      </c>
    </row>
    <row r="423" spans="2:4" x14ac:dyDescent="0.25">
      <c r="B423" s="59" t="s">
        <v>444</v>
      </c>
      <c r="C423" s="30">
        <v>1</v>
      </c>
      <c r="D423" s="30">
        <v>1</v>
      </c>
    </row>
    <row r="424" spans="2:4" x14ac:dyDescent="0.25">
      <c r="B424" s="75" t="s">
        <v>475</v>
      </c>
      <c r="C424" s="30">
        <v>1</v>
      </c>
      <c r="D424" s="30">
        <v>1</v>
      </c>
    </row>
    <row r="425" spans="2:4" x14ac:dyDescent="0.25">
      <c r="B425" s="74">
        <v>45772</v>
      </c>
      <c r="C425" s="30">
        <v>18</v>
      </c>
      <c r="D425" s="30">
        <v>18</v>
      </c>
    </row>
    <row r="426" spans="2:4" x14ac:dyDescent="0.25">
      <c r="B426" s="59" t="s">
        <v>133</v>
      </c>
      <c r="C426" s="30">
        <v>1</v>
      </c>
      <c r="D426" s="30">
        <v>1</v>
      </c>
    </row>
    <row r="427" spans="2:4" x14ac:dyDescent="0.25">
      <c r="B427" s="75" t="s">
        <v>287</v>
      </c>
      <c r="C427" s="30">
        <v>1</v>
      </c>
      <c r="D427" s="30">
        <v>1</v>
      </c>
    </row>
    <row r="428" spans="2:4" x14ac:dyDescent="0.25">
      <c r="B428" s="59" t="s">
        <v>149</v>
      </c>
      <c r="C428" s="30">
        <v>1</v>
      </c>
      <c r="D428" s="30">
        <v>1</v>
      </c>
    </row>
    <row r="429" spans="2:4" x14ac:dyDescent="0.25">
      <c r="B429" s="75" t="s">
        <v>166</v>
      </c>
      <c r="C429" s="30">
        <v>1</v>
      </c>
      <c r="D429" s="30">
        <v>1</v>
      </c>
    </row>
    <row r="430" spans="2:4" x14ac:dyDescent="0.25">
      <c r="B430" s="59" t="s">
        <v>183</v>
      </c>
      <c r="C430" s="30">
        <v>1</v>
      </c>
      <c r="D430" s="30">
        <v>1</v>
      </c>
    </row>
    <row r="431" spans="2:4" x14ac:dyDescent="0.25">
      <c r="B431" s="75" t="s">
        <v>469</v>
      </c>
      <c r="C431" s="30">
        <v>1</v>
      </c>
      <c r="D431" s="30">
        <v>1</v>
      </c>
    </row>
    <row r="432" spans="2:4" x14ac:dyDescent="0.25">
      <c r="B432" s="59" t="s">
        <v>190</v>
      </c>
      <c r="C432" s="30">
        <v>1</v>
      </c>
      <c r="D432" s="30">
        <v>1</v>
      </c>
    </row>
    <row r="433" spans="2:4" x14ac:dyDescent="0.25">
      <c r="B433" s="75" t="s">
        <v>308</v>
      </c>
      <c r="C433" s="30">
        <v>1</v>
      </c>
      <c r="D433" s="30">
        <v>1</v>
      </c>
    </row>
    <row r="434" spans="2:4" x14ac:dyDescent="0.25">
      <c r="B434" s="59" t="s">
        <v>198</v>
      </c>
      <c r="C434" s="30">
        <v>1</v>
      </c>
      <c r="D434" s="30">
        <v>1</v>
      </c>
    </row>
    <row r="435" spans="2:4" x14ac:dyDescent="0.25">
      <c r="B435" s="75" t="s">
        <v>300</v>
      </c>
      <c r="C435" s="30">
        <v>1</v>
      </c>
      <c r="D435" s="30">
        <v>1</v>
      </c>
    </row>
    <row r="436" spans="2:4" x14ac:dyDescent="0.25">
      <c r="B436" s="59" t="s">
        <v>210</v>
      </c>
      <c r="C436" s="30">
        <v>1</v>
      </c>
      <c r="D436" s="30">
        <v>1</v>
      </c>
    </row>
    <row r="437" spans="2:4" x14ac:dyDescent="0.25">
      <c r="B437" s="75" t="s">
        <v>474</v>
      </c>
      <c r="C437" s="30">
        <v>1</v>
      </c>
      <c r="D437" s="30">
        <v>1</v>
      </c>
    </row>
    <row r="438" spans="2:4" x14ac:dyDescent="0.25">
      <c r="B438" s="59" t="s">
        <v>230</v>
      </c>
      <c r="C438" s="30">
        <v>1</v>
      </c>
      <c r="D438" s="30">
        <v>1</v>
      </c>
    </row>
    <row r="439" spans="2:4" x14ac:dyDescent="0.25">
      <c r="B439" s="75" t="s">
        <v>427</v>
      </c>
      <c r="C439" s="30">
        <v>1</v>
      </c>
      <c r="D439" s="30">
        <v>1</v>
      </c>
    </row>
    <row r="440" spans="2:4" x14ac:dyDescent="0.25">
      <c r="B440" s="59" t="s">
        <v>233</v>
      </c>
      <c r="C440" s="30">
        <v>1</v>
      </c>
      <c r="D440" s="30">
        <v>1</v>
      </c>
    </row>
    <row r="441" spans="2:4" x14ac:dyDescent="0.25">
      <c r="B441" s="75" t="s">
        <v>304</v>
      </c>
      <c r="C441" s="30">
        <v>1</v>
      </c>
      <c r="D441" s="30">
        <v>1</v>
      </c>
    </row>
    <row r="442" spans="2:4" x14ac:dyDescent="0.25">
      <c r="B442" s="59" t="s">
        <v>236</v>
      </c>
      <c r="C442" s="30">
        <v>1</v>
      </c>
      <c r="D442" s="30">
        <v>1</v>
      </c>
    </row>
    <row r="443" spans="2:4" x14ac:dyDescent="0.25">
      <c r="B443" s="75" t="s">
        <v>489</v>
      </c>
      <c r="C443" s="30">
        <v>1</v>
      </c>
      <c r="D443" s="30">
        <v>1</v>
      </c>
    </row>
    <row r="444" spans="2:4" x14ac:dyDescent="0.25">
      <c r="B444" s="59" t="s">
        <v>290</v>
      </c>
      <c r="C444" s="30">
        <v>1</v>
      </c>
      <c r="D444" s="30">
        <v>1</v>
      </c>
    </row>
    <row r="445" spans="2:4" x14ac:dyDescent="0.25">
      <c r="B445" s="75" t="s">
        <v>291</v>
      </c>
      <c r="C445" s="30">
        <v>1</v>
      </c>
      <c r="D445" s="30">
        <v>1</v>
      </c>
    </row>
    <row r="446" spans="2:4" x14ac:dyDescent="0.25">
      <c r="B446" s="59" t="s">
        <v>314</v>
      </c>
      <c r="C446" s="30">
        <v>3</v>
      </c>
      <c r="D446" s="30">
        <v>3</v>
      </c>
    </row>
    <row r="447" spans="2:4" x14ac:dyDescent="0.25">
      <c r="B447" s="75" t="s">
        <v>315</v>
      </c>
      <c r="C447" s="30">
        <v>1</v>
      </c>
      <c r="D447" s="30">
        <v>1</v>
      </c>
    </row>
    <row r="448" spans="2:4" x14ac:dyDescent="0.25">
      <c r="B448" s="75" t="s">
        <v>397</v>
      </c>
      <c r="C448" s="30">
        <v>1</v>
      </c>
      <c r="D448" s="30">
        <v>1</v>
      </c>
    </row>
    <row r="449" spans="2:4" x14ac:dyDescent="0.25">
      <c r="B449" s="75" t="s">
        <v>459</v>
      </c>
      <c r="C449" s="30">
        <v>1</v>
      </c>
      <c r="D449" s="30">
        <v>1</v>
      </c>
    </row>
    <row r="450" spans="2:4" x14ac:dyDescent="0.25">
      <c r="B450" s="59" t="s">
        <v>316</v>
      </c>
      <c r="C450" s="30">
        <v>1</v>
      </c>
      <c r="D450" s="30">
        <v>1</v>
      </c>
    </row>
    <row r="451" spans="2:4" x14ac:dyDescent="0.25">
      <c r="B451" s="75" t="s">
        <v>317</v>
      </c>
      <c r="C451" s="30">
        <v>1</v>
      </c>
      <c r="D451" s="30">
        <v>1</v>
      </c>
    </row>
    <row r="452" spans="2:4" x14ac:dyDescent="0.25">
      <c r="B452" s="59" t="s">
        <v>330</v>
      </c>
      <c r="C452" s="30">
        <v>1</v>
      </c>
      <c r="D452" s="30">
        <v>1</v>
      </c>
    </row>
    <row r="453" spans="2:4" x14ac:dyDescent="0.25">
      <c r="B453" s="75" t="s">
        <v>336</v>
      </c>
      <c r="C453" s="30">
        <v>1</v>
      </c>
      <c r="D453" s="30">
        <v>1</v>
      </c>
    </row>
    <row r="454" spans="2:4" x14ac:dyDescent="0.25">
      <c r="B454" s="59" t="s">
        <v>347</v>
      </c>
      <c r="C454" s="30">
        <v>1</v>
      </c>
      <c r="D454" s="30">
        <v>1</v>
      </c>
    </row>
    <row r="455" spans="2:4" x14ac:dyDescent="0.25">
      <c r="B455" s="75" t="s">
        <v>490</v>
      </c>
      <c r="C455" s="30">
        <v>1</v>
      </c>
      <c r="D455" s="30">
        <v>1</v>
      </c>
    </row>
    <row r="456" spans="2:4" x14ac:dyDescent="0.25">
      <c r="B456" s="59" t="s">
        <v>450</v>
      </c>
      <c r="C456" s="30">
        <v>1</v>
      </c>
      <c r="D456" s="30">
        <v>1</v>
      </c>
    </row>
    <row r="457" spans="2:4" x14ac:dyDescent="0.25">
      <c r="B457" s="75" t="s">
        <v>480</v>
      </c>
      <c r="C457" s="30">
        <v>1</v>
      </c>
      <c r="D457" s="30">
        <v>1</v>
      </c>
    </row>
    <row r="458" spans="2:4" x14ac:dyDescent="0.25">
      <c r="B458" s="59" t="s">
        <v>513</v>
      </c>
      <c r="C458" s="30">
        <v>1</v>
      </c>
      <c r="D458" s="30">
        <v>1</v>
      </c>
    </row>
    <row r="459" spans="2:4" x14ac:dyDescent="0.25">
      <c r="B459" s="75" t="s">
        <v>514</v>
      </c>
      <c r="C459" s="30">
        <v>1</v>
      </c>
      <c r="D459" s="30">
        <v>1</v>
      </c>
    </row>
    <row r="460" spans="2:4" x14ac:dyDescent="0.25">
      <c r="B460" s="74">
        <v>45775</v>
      </c>
      <c r="C460" s="30">
        <v>13</v>
      </c>
      <c r="D460" s="30">
        <v>13</v>
      </c>
    </row>
    <row r="461" spans="2:4" x14ac:dyDescent="0.25">
      <c r="B461" s="59" t="s">
        <v>123</v>
      </c>
      <c r="C461" s="30">
        <v>1</v>
      </c>
      <c r="D461" s="30">
        <v>1</v>
      </c>
    </row>
    <row r="462" spans="2:4" x14ac:dyDescent="0.25">
      <c r="B462" s="75" t="s">
        <v>125</v>
      </c>
      <c r="C462" s="30">
        <v>1</v>
      </c>
      <c r="D462" s="30">
        <v>1</v>
      </c>
    </row>
    <row r="463" spans="2:4" x14ac:dyDescent="0.25">
      <c r="B463" s="59" t="s">
        <v>133</v>
      </c>
      <c r="C463" s="30">
        <v>1</v>
      </c>
      <c r="D463" s="30">
        <v>1</v>
      </c>
    </row>
    <row r="464" spans="2:4" x14ac:dyDescent="0.25">
      <c r="B464" s="75" t="s">
        <v>284</v>
      </c>
      <c r="C464" s="30">
        <v>1</v>
      </c>
      <c r="D464" s="30">
        <v>1</v>
      </c>
    </row>
    <row r="465" spans="2:4" x14ac:dyDescent="0.25">
      <c r="B465" s="59" t="s">
        <v>198</v>
      </c>
      <c r="C465" s="30">
        <v>1</v>
      </c>
      <c r="D465" s="30">
        <v>1</v>
      </c>
    </row>
    <row r="466" spans="2:4" x14ac:dyDescent="0.25">
      <c r="B466" s="75" t="s">
        <v>299</v>
      </c>
      <c r="C466" s="30">
        <v>1</v>
      </c>
      <c r="D466" s="30">
        <v>1</v>
      </c>
    </row>
    <row r="467" spans="2:4" x14ac:dyDescent="0.25">
      <c r="B467" s="59" t="s">
        <v>223</v>
      </c>
      <c r="C467" s="30">
        <v>1</v>
      </c>
      <c r="D467" s="30">
        <v>1</v>
      </c>
    </row>
    <row r="468" spans="2:4" x14ac:dyDescent="0.25">
      <c r="B468" s="75" t="s">
        <v>491</v>
      </c>
      <c r="C468" s="30">
        <v>1</v>
      </c>
      <c r="D468" s="30">
        <v>1</v>
      </c>
    </row>
    <row r="469" spans="2:4" x14ac:dyDescent="0.25">
      <c r="B469" s="59" t="s">
        <v>230</v>
      </c>
      <c r="C469" s="30">
        <v>1</v>
      </c>
      <c r="D469" s="30">
        <v>1</v>
      </c>
    </row>
    <row r="470" spans="2:4" x14ac:dyDescent="0.25">
      <c r="B470" s="75" t="s">
        <v>410</v>
      </c>
      <c r="C470" s="30">
        <v>1</v>
      </c>
      <c r="D470" s="30">
        <v>1</v>
      </c>
    </row>
    <row r="471" spans="2:4" x14ac:dyDescent="0.25">
      <c r="B471" s="59" t="s">
        <v>253</v>
      </c>
      <c r="C471" s="30">
        <v>1</v>
      </c>
      <c r="D471" s="30">
        <v>1</v>
      </c>
    </row>
    <row r="472" spans="2:4" x14ac:dyDescent="0.25">
      <c r="B472" s="75" t="s">
        <v>343</v>
      </c>
      <c r="C472" s="30">
        <v>1</v>
      </c>
      <c r="D472" s="30">
        <v>1</v>
      </c>
    </row>
    <row r="473" spans="2:4" x14ac:dyDescent="0.25">
      <c r="B473" s="59" t="s">
        <v>279</v>
      </c>
      <c r="C473" s="30">
        <v>1</v>
      </c>
      <c r="D473" s="30">
        <v>1</v>
      </c>
    </row>
    <row r="474" spans="2:4" x14ac:dyDescent="0.25">
      <c r="B474" s="75" t="s">
        <v>394</v>
      </c>
      <c r="C474" s="30">
        <v>1</v>
      </c>
      <c r="D474" s="30">
        <v>1</v>
      </c>
    </row>
    <row r="475" spans="2:4" x14ac:dyDescent="0.25">
      <c r="B475" s="59" t="s">
        <v>290</v>
      </c>
      <c r="C475" s="30">
        <v>2</v>
      </c>
      <c r="D475" s="30">
        <v>2</v>
      </c>
    </row>
    <row r="476" spans="2:4" x14ac:dyDescent="0.25">
      <c r="B476" s="75" t="s">
        <v>372</v>
      </c>
      <c r="C476" s="30">
        <v>1</v>
      </c>
      <c r="D476" s="30">
        <v>1</v>
      </c>
    </row>
    <row r="477" spans="2:4" x14ac:dyDescent="0.25">
      <c r="B477" s="75" t="s">
        <v>455</v>
      </c>
      <c r="C477" s="30">
        <v>1</v>
      </c>
      <c r="D477" s="30">
        <v>1</v>
      </c>
    </row>
    <row r="478" spans="2:4" x14ac:dyDescent="0.25">
      <c r="B478" s="59" t="s">
        <v>297</v>
      </c>
      <c r="C478" s="30">
        <v>1</v>
      </c>
      <c r="D478" s="30">
        <v>1</v>
      </c>
    </row>
    <row r="479" spans="2:4" x14ac:dyDescent="0.25">
      <c r="B479" s="75" t="s">
        <v>381</v>
      </c>
      <c r="C479" s="30">
        <v>1</v>
      </c>
      <c r="D479" s="30">
        <v>1</v>
      </c>
    </row>
    <row r="480" spans="2:4" x14ac:dyDescent="0.25">
      <c r="B480" s="59" t="s">
        <v>338</v>
      </c>
      <c r="C480" s="30">
        <v>1</v>
      </c>
      <c r="D480" s="30">
        <v>1</v>
      </c>
    </row>
    <row r="481" spans="2:4" x14ac:dyDescent="0.25">
      <c r="B481" s="75" t="s">
        <v>376</v>
      </c>
      <c r="C481" s="30">
        <v>1</v>
      </c>
      <c r="D481" s="30">
        <v>1</v>
      </c>
    </row>
    <row r="482" spans="2:4" x14ac:dyDescent="0.25">
      <c r="B482" s="59" t="s">
        <v>379</v>
      </c>
      <c r="C482" s="30">
        <v>1</v>
      </c>
      <c r="D482" s="30">
        <v>1</v>
      </c>
    </row>
    <row r="483" spans="2:4" x14ac:dyDescent="0.25">
      <c r="B483" s="75" t="s">
        <v>380</v>
      </c>
      <c r="C483" s="30">
        <v>1</v>
      </c>
      <c r="D483" s="30">
        <v>1</v>
      </c>
    </row>
    <row r="484" spans="2:4" x14ac:dyDescent="0.25">
      <c r="B484" s="59" t="s">
        <v>460</v>
      </c>
      <c r="C484" s="30">
        <v>1</v>
      </c>
      <c r="D484" s="30">
        <v>1</v>
      </c>
    </row>
    <row r="485" spans="2:4" x14ac:dyDescent="0.25">
      <c r="B485" s="75" t="s">
        <v>511</v>
      </c>
      <c r="C485" s="30">
        <v>1</v>
      </c>
      <c r="D485" s="30">
        <v>1</v>
      </c>
    </row>
    <row r="486" spans="2:4" x14ac:dyDescent="0.25">
      <c r="B486" s="74">
        <v>45776</v>
      </c>
      <c r="C486" s="30">
        <v>12</v>
      </c>
      <c r="D486" s="30">
        <v>12</v>
      </c>
    </row>
    <row r="487" spans="2:4" x14ac:dyDescent="0.25">
      <c r="B487" s="59" t="s">
        <v>172</v>
      </c>
      <c r="C487" s="30">
        <v>1</v>
      </c>
      <c r="D487" s="30">
        <v>1</v>
      </c>
    </row>
    <row r="488" spans="2:4" x14ac:dyDescent="0.25">
      <c r="B488" s="75" t="s">
        <v>174</v>
      </c>
      <c r="C488" s="30">
        <v>1</v>
      </c>
      <c r="D488" s="30">
        <v>1</v>
      </c>
    </row>
    <row r="489" spans="2:4" x14ac:dyDescent="0.25">
      <c r="B489" s="59" t="s">
        <v>180</v>
      </c>
      <c r="C489" s="30">
        <v>1</v>
      </c>
      <c r="D489" s="30">
        <v>1</v>
      </c>
    </row>
    <row r="490" spans="2:4" x14ac:dyDescent="0.25">
      <c r="B490" s="75" t="s">
        <v>242</v>
      </c>
      <c r="C490" s="30">
        <v>1</v>
      </c>
      <c r="D490" s="30">
        <v>1</v>
      </c>
    </row>
    <row r="491" spans="2:4" x14ac:dyDescent="0.25">
      <c r="B491" s="59" t="s">
        <v>190</v>
      </c>
      <c r="C491" s="30">
        <v>1</v>
      </c>
      <c r="D491" s="30">
        <v>1</v>
      </c>
    </row>
    <row r="492" spans="2:4" x14ac:dyDescent="0.25">
      <c r="B492" s="75" t="s">
        <v>192</v>
      </c>
      <c r="C492" s="30">
        <v>1</v>
      </c>
      <c r="D492" s="30">
        <v>1</v>
      </c>
    </row>
    <row r="493" spans="2:4" x14ac:dyDescent="0.25">
      <c r="B493" s="59" t="s">
        <v>220</v>
      </c>
      <c r="C493" s="30">
        <v>1</v>
      </c>
      <c r="D493" s="30">
        <v>1</v>
      </c>
    </row>
    <row r="494" spans="2:4" x14ac:dyDescent="0.25">
      <c r="B494" s="75" t="s">
        <v>313</v>
      </c>
      <c r="C494" s="30">
        <v>1</v>
      </c>
      <c r="D494" s="30">
        <v>1</v>
      </c>
    </row>
    <row r="495" spans="2:4" x14ac:dyDescent="0.25">
      <c r="B495" s="59" t="s">
        <v>233</v>
      </c>
      <c r="C495" s="30">
        <v>1</v>
      </c>
      <c r="D495" s="30">
        <v>1</v>
      </c>
    </row>
    <row r="496" spans="2:4" x14ac:dyDescent="0.25">
      <c r="B496" s="75" t="s">
        <v>239</v>
      </c>
      <c r="C496" s="30">
        <v>1</v>
      </c>
      <c r="D496" s="30">
        <v>1</v>
      </c>
    </row>
    <row r="497" spans="2:4" x14ac:dyDescent="0.25">
      <c r="B497" s="59" t="s">
        <v>290</v>
      </c>
      <c r="C497" s="30">
        <v>4</v>
      </c>
      <c r="D497" s="30">
        <v>4</v>
      </c>
    </row>
    <row r="498" spans="2:4" x14ac:dyDescent="0.25">
      <c r="B498" s="75" t="s">
        <v>293</v>
      </c>
      <c r="C498" s="30">
        <v>1</v>
      </c>
      <c r="D498" s="30">
        <v>1</v>
      </c>
    </row>
    <row r="499" spans="2:4" x14ac:dyDescent="0.25">
      <c r="B499" s="75" t="s">
        <v>374</v>
      </c>
      <c r="C499" s="30">
        <v>1</v>
      </c>
      <c r="D499" s="30">
        <v>1</v>
      </c>
    </row>
    <row r="500" spans="2:4" x14ac:dyDescent="0.25">
      <c r="B500" s="75" t="s">
        <v>399</v>
      </c>
      <c r="C500" s="30">
        <v>1</v>
      </c>
      <c r="D500" s="30">
        <v>1</v>
      </c>
    </row>
    <row r="501" spans="2:4" x14ac:dyDescent="0.25">
      <c r="B501" s="75" t="s">
        <v>495</v>
      </c>
      <c r="C501" s="30">
        <v>1</v>
      </c>
      <c r="D501" s="30">
        <v>1</v>
      </c>
    </row>
    <row r="502" spans="2:4" x14ac:dyDescent="0.25">
      <c r="B502" s="59" t="s">
        <v>301</v>
      </c>
      <c r="C502" s="30">
        <v>2</v>
      </c>
      <c r="D502" s="30">
        <v>2</v>
      </c>
    </row>
    <row r="503" spans="2:4" x14ac:dyDescent="0.25">
      <c r="B503" s="75" t="s">
        <v>302</v>
      </c>
      <c r="C503" s="30">
        <v>1</v>
      </c>
      <c r="D503" s="30">
        <v>1</v>
      </c>
    </row>
    <row r="504" spans="2:4" x14ac:dyDescent="0.25">
      <c r="B504" s="75" t="s">
        <v>383</v>
      </c>
      <c r="C504" s="30">
        <v>1</v>
      </c>
      <c r="D504" s="30">
        <v>1</v>
      </c>
    </row>
    <row r="505" spans="2:4" x14ac:dyDescent="0.25">
      <c r="B505" s="59" t="s">
        <v>320</v>
      </c>
      <c r="C505" s="30">
        <v>1</v>
      </c>
      <c r="D505" s="30">
        <v>1</v>
      </c>
    </row>
    <row r="506" spans="2:4" x14ac:dyDescent="0.25">
      <c r="B506" s="75" t="s">
        <v>321</v>
      </c>
      <c r="C506" s="30">
        <v>1</v>
      </c>
      <c r="D506" s="30">
        <v>1</v>
      </c>
    </row>
    <row r="507" spans="2:4" x14ac:dyDescent="0.25">
      <c r="B507" s="74">
        <v>45777</v>
      </c>
      <c r="C507" s="30">
        <v>19</v>
      </c>
      <c r="D507" s="30">
        <v>19</v>
      </c>
    </row>
    <row r="508" spans="2:4" x14ac:dyDescent="0.25">
      <c r="B508" s="59" t="s">
        <v>133</v>
      </c>
      <c r="C508" s="30">
        <v>1</v>
      </c>
      <c r="D508" s="30">
        <v>1</v>
      </c>
    </row>
    <row r="509" spans="2:4" x14ac:dyDescent="0.25">
      <c r="B509" s="75" t="s">
        <v>252</v>
      </c>
      <c r="C509" s="30">
        <v>1</v>
      </c>
      <c r="D509" s="30">
        <v>1</v>
      </c>
    </row>
    <row r="510" spans="2:4" x14ac:dyDescent="0.25">
      <c r="B510" s="59" t="s">
        <v>172</v>
      </c>
      <c r="C510" s="30">
        <v>1</v>
      </c>
      <c r="D510" s="30">
        <v>1</v>
      </c>
    </row>
    <row r="511" spans="2:4" x14ac:dyDescent="0.25">
      <c r="B511" s="75" t="s">
        <v>176</v>
      </c>
      <c r="C511" s="30">
        <v>1</v>
      </c>
      <c r="D511" s="30">
        <v>1</v>
      </c>
    </row>
    <row r="512" spans="2:4" x14ac:dyDescent="0.25">
      <c r="B512" s="59" t="s">
        <v>193</v>
      </c>
      <c r="C512" s="30">
        <v>1</v>
      </c>
      <c r="D512" s="30">
        <v>1</v>
      </c>
    </row>
    <row r="513" spans="2:4" x14ac:dyDescent="0.25">
      <c r="B513" s="75" t="s">
        <v>209</v>
      </c>
      <c r="C513" s="30">
        <v>1</v>
      </c>
      <c r="D513" s="30">
        <v>1</v>
      </c>
    </row>
    <row r="514" spans="2:4" x14ac:dyDescent="0.25">
      <c r="B514" s="59" t="s">
        <v>198</v>
      </c>
      <c r="C514" s="30">
        <v>2</v>
      </c>
      <c r="D514" s="30">
        <v>2</v>
      </c>
    </row>
    <row r="515" spans="2:4" x14ac:dyDescent="0.25">
      <c r="B515" s="75" t="s">
        <v>199</v>
      </c>
      <c r="C515" s="30">
        <v>1</v>
      </c>
      <c r="D515" s="30">
        <v>1</v>
      </c>
    </row>
    <row r="516" spans="2:4" x14ac:dyDescent="0.25">
      <c r="B516" s="75" t="s">
        <v>240</v>
      </c>
      <c r="C516" s="30">
        <v>1</v>
      </c>
      <c r="D516" s="30">
        <v>1</v>
      </c>
    </row>
    <row r="517" spans="2:4" x14ac:dyDescent="0.25">
      <c r="B517" s="59" t="s">
        <v>200</v>
      </c>
      <c r="C517" s="30">
        <v>1</v>
      </c>
      <c r="D517" s="30">
        <v>1</v>
      </c>
    </row>
    <row r="518" spans="2:4" x14ac:dyDescent="0.25">
      <c r="B518" s="75" t="s">
        <v>208</v>
      </c>
      <c r="C518" s="30">
        <v>1</v>
      </c>
      <c r="D518" s="30">
        <v>1</v>
      </c>
    </row>
    <row r="519" spans="2:4" x14ac:dyDescent="0.25">
      <c r="B519" s="59" t="s">
        <v>217</v>
      </c>
      <c r="C519" s="30">
        <v>1</v>
      </c>
      <c r="D519" s="30">
        <v>1</v>
      </c>
    </row>
    <row r="520" spans="2:4" x14ac:dyDescent="0.25">
      <c r="B520" s="75" t="s">
        <v>473</v>
      </c>
      <c r="C520" s="30">
        <v>1</v>
      </c>
      <c r="D520" s="30">
        <v>1</v>
      </c>
    </row>
    <row r="521" spans="2:4" x14ac:dyDescent="0.25">
      <c r="B521" s="59" t="s">
        <v>223</v>
      </c>
      <c r="C521" s="30">
        <v>4</v>
      </c>
      <c r="D521" s="30">
        <v>4</v>
      </c>
    </row>
    <row r="522" spans="2:4" x14ac:dyDescent="0.25">
      <c r="B522" s="75" t="s">
        <v>408</v>
      </c>
      <c r="C522" s="30">
        <v>1</v>
      </c>
      <c r="D522" s="30">
        <v>1</v>
      </c>
    </row>
    <row r="523" spans="2:4" x14ac:dyDescent="0.25">
      <c r="B523" s="75" t="s">
        <v>409</v>
      </c>
      <c r="C523" s="30">
        <v>1</v>
      </c>
      <c r="D523" s="30">
        <v>1</v>
      </c>
    </row>
    <row r="524" spans="2:4" x14ac:dyDescent="0.25">
      <c r="B524" s="75" t="s">
        <v>456</v>
      </c>
      <c r="C524" s="30">
        <v>1</v>
      </c>
      <c r="D524" s="30">
        <v>1</v>
      </c>
    </row>
    <row r="525" spans="2:4" x14ac:dyDescent="0.25">
      <c r="B525" s="75" t="s">
        <v>457</v>
      </c>
      <c r="C525" s="30">
        <v>1</v>
      </c>
      <c r="D525" s="30">
        <v>1</v>
      </c>
    </row>
    <row r="526" spans="2:4" x14ac:dyDescent="0.25">
      <c r="B526" s="59" t="s">
        <v>230</v>
      </c>
      <c r="C526" s="30">
        <v>3</v>
      </c>
      <c r="D526" s="30">
        <v>3</v>
      </c>
    </row>
    <row r="527" spans="2:4" x14ac:dyDescent="0.25">
      <c r="B527" s="75" t="s">
        <v>428</v>
      </c>
      <c r="C527" s="30">
        <v>1</v>
      </c>
      <c r="D527" s="30">
        <v>1</v>
      </c>
    </row>
    <row r="528" spans="2:4" x14ac:dyDescent="0.25">
      <c r="B528" s="75" t="s">
        <v>429</v>
      </c>
      <c r="C528" s="30">
        <v>1</v>
      </c>
      <c r="D528" s="30">
        <v>1</v>
      </c>
    </row>
    <row r="529" spans="2:4" x14ac:dyDescent="0.25">
      <c r="B529" s="75" t="s">
        <v>507</v>
      </c>
      <c r="C529" s="30">
        <v>1</v>
      </c>
      <c r="D529" s="30">
        <v>1</v>
      </c>
    </row>
    <row r="530" spans="2:4" x14ac:dyDescent="0.25">
      <c r="B530" s="59" t="s">
        <v>233</v>
      </c>
      <c r="C530" s="30">
        <v>1</v>
      </c>
      <c r="D530" s="30">
        <v>1</v>
      </c>
    </row>
    <row r="531" spans="2:4" x14ac:dyDescent="0.25">
      <c r="B531" s="75" t="s">
        <v>250</v>
      </c>
      <c r="C531" s="30">
        <v>1</v>
      </c>
      <c r="D531" s="30">
        <v>1</v>
      </c>
    </row>
    <row r="532" spans="2:4" x14ac:dyDescent="0.25">
      <c r="B532" s="59" t="s">
        <v>253</v>
      </c>
      <c r="C532" s="30">
        <v>1</v>
      </c>
      <c r="D532" s="30">
        <v>1</v>
      </c>
    </row>
    <row r="533" spans="2:4" x14ac:dyDescent="0.25">
      <c r="B533" s="75" t="s">
        <v>254</v>
      </c>
      <c r="C533" s="30">
        <v>1</v>
      </c>
      <c r="D533" s="30">
        <v>1</v>
      </c>
    </row>
    <row r="534" spans="2:4" x14ac:dyDescent="0.25">
      <c r="B534" s="59" t="s">
        <v>290</v>
      </c>
      <c r="C534" s="30">
        <v>1</v>
      </c>
      <c r="D534" s="30">
        <v>1</v>
      </c>
    </row>
    <row r="535" spans="2:4" x14ac:dyDescent="0.25">
      <c r="B535" s="75" t="s">
        <v>361</v>
      </c>
      <c r="C535" s="30">
        <v>1</v>
      </c>
      <c r="D535" s="30">
        <v>1</v>
      </c>
    </row>
    <row r="536" spans="2:4" x14ac:dyDescent="0.25">
      <c r="B536" s="59" t="s">
        <v>444</v>
      </c>
      <c r="C536" s="30">
        <v>1</v>
      </c>
      <c r="D536" s="30">
        <v>1</v>
      </c>
    </row>
    <row r="537" spans="2:4" x14ac:dyDescent="0.25">
      <c r="B537" s="75" t="s">
        <v>497</v>
      </c>
      <c r="C537" s="30">
        <v>1</v>
      </c>
      <c r="D537" s="30">
        <v>1</v>
      </c>
    </row>
    <row r="538" spans="2:4" x14ac:dyDescent="0.25">
      <c r="B538" s="59" t="s">
        <v>460</v>
      </c>
      <c r="C538" s="30">
        <v>1</v>
      </c>
      <c r="D538" s="30">
        <v>1</v>
      </c>
    </row>
    <row r="539" spans="2:4" x14ac:dyDescent="0.25">
      <c r="B539" s="75" t="s">
        <v>464</v>
      </c>
      <c r="C539" s="30">
        <v>1</v>
      </c>
      <c r="D539" s="30">
        <v>1</v>
      </c>
    </row>
    <row r="540" spans="2:4" x14ac:dyDescent="0.25">
      <c r="B540" s="29" t="s">
        <v>70</v>
      </c>
      <c r="C540" s="30">
        <v>291</v>
      </c>
      <c r="D540" s="30">
        <v>291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B1:G132"/>
  <sheetViews>
    <sheetView workbookViewId="0">
      <selection activeCell="F20" sqref="F20"/>
    </sheetView>
  </sheetViews>
  <sheetFormatPr defaultRowHeight="15" x14ac:dyDescent="0.25"/>
  <cols>
    <col min="2" max="2" width="56.42578125" bestFit="1" customWidth="1"/>
    <col min="3" max="3" width="24.42578125" bestFit="1" customWidth="1"/>
    <col min="4" max="4" width="13.85546875" customWidth="1"/>
    <col min="5" max="5" width="13.140625" customWidth="1"/>
    <col min="6" max="6" width="24.42578125" customWidth="1"/>
    <col min="7" max="7" width="18.7109375" customWidth="1"/>
    <col min="8" max="8" width="24.42578125" bestFit="1" customWidth="1"/>
    <col min="9" max="9" width="18.7109375" bestFit="1" customWidth="1"/>
    <col min="10" max="10" width="24.42578125" bestFit="1" customWidth="1"/>
    <col min="11" max="11" width="18.7109375" bestFit="1" customWidth="1"/>
    <col min="12" max="12" width="24.42578125" bestFit="1" customWidth="1"/>
    <col min="13" max="13" width="18.7109375" bestFit="1" customWidth="1"/>
    <col min="14" max="14" width="24.42578125" bestFit="1" customWidth="1"/>
    <col min="15" max="15" width="18.7109375" bestFit="1" customWidth="1"/>
    <col min="16" max="16" width="24.42578125" bestFit="1" customWidth="1"/>
    <col min="17" max="17" width="18.7109375" bestFit="1" customWidth="1"/>
    <col min="18" max="18" width="24.42578125" bestFit="1" customWidth="1"/>
    <col min="19" max="19" width="18.7109375" bestFit="1" customWidth="1"/>
    <col min="20" max="20" width="24.42578125" bestFit="1" customWidth="1"/>
    <col min="21" max="21" width="18.7109375" bestFit="1" customWidth="1"/>
    <col min="22" max="22" width="29.42578125" bestFit="1" customWidth="1"/>
    <col min="23" max="23" width="23.7109375" bestFit="1" customWidth="1"/>
    <col min="24" max="25" width="4" customWidth="1"/>
    <col min="26" max="26" width="5" customWidth="1"/>
    <col min="27" max="27" width="21.5703125" bestFit="1" customWidth="1"/>
    <col min="28" max="28" width="11.28515625" bestFit="1" customWidth="1"/>
  </cols>
  <sheetData>
    <row r="1" spans="2:7" x14ac:dyDescent="0.25">
      <c r="B1" s="28" t="s">
        <v>27</v>
      </c>
      <c r="C1" t="s">
        <v>68</v>
      </c>
    </row>
    <row r="2" spans="2:7" x14ac:dyDescent="0.25">
      <c r="B2" s="28" t="s">
        <v>25</v>
      </c>
      <c r="C2" t="s">
        <v>68</v>
      </c>
    </row>
    <row r="4" spans="2:7" x14ac:dyDescent="0.25">
      <c r="B4" s="28" t="s">
        <v>69</v>
      </c>
      <c r="C4" t="s">
        <v>97</v>
      </c>
      <c r="D4" s="30"/>
      <c r="E4" s="29"/>
      <c r="F4" s="30"/>
      <c r="G4" s="30"/>
    </row>
    <row r="5" spans="2:7" x14ac:dyDescent="0.25">
      <c r="B5" s="29" t="s">
        <v>521</v>
      </c>
      <c r="C5" s="30">
        <v>291</v>
      </c>
      <c r="D5" s="30"/>
      <c r="E5" s="54"/>
      <c r="F5" s="30"/>
      <c r="G5" s="30"/>
    </row>
    <row r="6" spans="2:7" x14ac:dyDescent="0.25">
      <c r="B6" s="73" t="s">
        <v>147</v>
      </c>
      <c r="C6" s="30">
        <v>291</v>
      </c>
      <c r="D6" s="30"/>
      <c r="E6" s="54"/>
      <c r="F6" s="30"/>
      <c r="G6" s="30"/>
    </row>
    <row r="7" spans="2:7" x14ac:dyDescent="0.25">
      <c r="B7" s="74">
        <v>45748</v>
      </c>
      <c r="C7" s="30">
        <v>18</v>
      </c>
      <c r="D7" s="30"/>
      <c r="E7" s="29"/>
      <c r="F7" s="30"/>
      <c r="G7" s="30"/>
    </row>
    <row r="8" spans="2:7" x14ac:dyDescent="0.25">
      <c r="B8" s="59" t="s">
        <v>127</v>
      </c>
      <c r="C8" s="30">
        <v>1</v>
      </c>
      <c r="D8" s="30"/>
      <c r="E8" s="54"/>
      <c r="F8" s="30"/>
      <c r="G8" s="30"/>
    </row>
    <row r="9" spans="2:7" x14ac:dyDescent="0.25">
      <c r="B9" s="59" t="s">
        <v>136</v>
      </c>
      <c r="C9" s="30">
        <v>7</v>
      </c>
      <c r="D9" s="30"/>
      <c r="E9" s="54"/>
      <c r="F9" s="30"/>
      <c r="G9" s="30"/>
    </row>
    <row r="10" spans="2:7" x14ac:dyDescent="0.25">
      <c r="B10" s="59" t="s">
        <v>145</v>
      </c>
      <c r="C10" s="30">
        <v>7</v>
      </c>
      <c r="D10" s="30"/>
      <c r="E10" s="54"/>
      <c r="F10" s="30"/>
      <c r="G10" s="30"/>
    </row>
    <row r="11" spans="2:7" x14ac:dyDescent="0.25">
      <c r="B11" s="59" t="s">
        <v>157</v>
      </c>
      <c r="C11" s="30">
        <v>1</v>
      </c>
      <c r="D11" s="30"/>
      <c r="E11" s="29"/>
      <c r="F11" s="30"/>
      <c r="G11" s="30"/>
    </row>
    <row r="12" spans="2:7" x14ac:dyDescent="0.25">
      <c r="B12" s="59" t="s">
        <v>167</v>
      </c>
      <c r="C12" s="30">
        <v>1</v>
      </c>
      <c r="D12" s="30"/>
      <c r="E12" s="54"/>
      <c r="F12" s="30"/>
      <c r="G12" s="30"/>
    </row>
    <row r="13" spans="2:7" x14ac:dyDescent="0.25">
      <c r="B13" s="59" t="s">
        <v>249</v>
      </c>
      <c r="C13" s="30">
        <v>1</v>
      </c>
      <c r="D13" s="30"/>
      <c r="E13" s="54"/>
      <c r="F13" s="30"/>
      <c r="G13" s="30"/>
    </row>
    <row r="14" spans="2:7" x14ac:dyDescent="0.25">
      <c r="B14" s="74">
        <v>45749</v>
      </c>
      <c r="C14" s="30">
        <v>16</v>
      </c>
      <c r="D14" s="54"/>
      <c r="E14" s="30"/>
      <c r="F14" s="30"/>
    </row>
    <row r="15" spans="2:7" x14ac:dyDescent="0.25">
      <c r="B15" s="59" t="s">
        <v>127</v>
      </c>
      <c r="C15" s="30">
        <v>2</v>
      </c>
      <c r="D15" s="30"/>
      <c r="E15" s="29"/>
      <c r="F15" s="30"/>
      <c r="G15" s="30"/>
    </row>
    <row r="16" spans="2:7" x14ac:dyDescent="0.25">
      <c r="B16" s="59" t="s">
        <v>136</v>
      </c>
      <c r="C16" s="30">
        <v>6</v>
      </c>
      <c r="D16" s="30"/>
      <c r="E16" s="54"/>
      <c r="F16" s="30"/>
      <c r="G16" s="30"/>
    </row>
    <row r="17" spans="2:7" x14ac:dyDescent="0.25">
      <c r="B17" s="59" t="s">
        <v>145</v>
      </c>
      <c r="C17" s="30">
        <v>2</v>
      </c>
      <c r="D17" s="30"/>
      <c r="E17" s="54"/>
      <c r="F17" s="30"/>
      <c r="G17" s="30"/>
    </row>
    <row r="18" spans="2:7" x14ac:dyDescent="0.25">
      <c r="B18" s="59" t="s">
        <v>167</v>
      </c>
      <c r="C18" s="30">
        <v>1</v>
      </c>
      <c r="D18" s="30"/>
      <c r="E18" s="54"/>
      <c r="F18" s="30"/>
      <c r="G18" s="30"/>
    </row>
    <row r="19" spans="2:7" x14ac:dyDescent="0.25">
      <c r="B19" s="59" t="s">
        <v>206</v>
      </c>
      <c r="C19" s="30">
        <v>4</v>
      </c>
      <c r="D19" s="30"/>
      <c r="E19" s="29"/>
      <c r="F19" s="30"/>
      <c r="G19" s="30"/>
    </row>
    <row r="20" spans="2:7" x14ac:dyDescent="0.25">
      <c r="B20" s="59" t="s">
        <v>249</v>
      </c>
      <c r="C20" s="30">
        <v>1</v>
      </c>
      <c r="D20" s="30"/>
    </row>
    <row r="21" spans="2:7" x14ac:dyDescent="0.25">
      <c r="B21" s="74">
        <v>45750</v>
      </c>
      <c r="C21" s="30">
        <v>16</v>
      </c>
      <c r="D21" s="30"/>
    </row>
    <row r="22" spans="2:7" x14ac:dyDescent="0.25">
      <c r="B22" s="59" t="s">
        <v>127</v>
      </c>
      <c r="C22" s="30">
        <v>1</v>
      </c>
      <c r="D22" s="30"/>
    </row>
    <row r="23" spans="2:7" x14ac:dyDescent="0.25">
      <c r="B23" s="59" t="s">
        <v>136</v>
      </c>
      <c r="C23" s="30">
        <v>6</v>
      </c>
      <c r="D23" s="30"/>
    </row>
    <row r="24" spans="2:7" x14ac:dyDescent="0.25">
      <c r="B24" s="59" t="s">
        <v>157</v>
      </c>
      <c r="C24" s="30">
        <v>2</v>
      </c>
      <c r="D24" s="30"/>
    </row>
    <row r="25" spans="2:7" x14ac:dyDescent="0.25">
      <c r="B25" s="59" t="s">
        <v>206</v>
      </c>
      <c r="C25" s="30">
        <v>4</v>
      </c>
      <c r="D25" s="30"/>
    </row>
    <row r="26" spans="2:7" x14ac:dyDescent="0.25">
      <c r="B26" s="59" t="s">
        <v>249</v>
      </c>
      <c r="C26" s="30">
        <v>3</v>
      </c>
      <c r="D26" s="30"/>
    </row>
    <row r="27" spans="2:7" x14ac:dyDescent="0.25">
      <c r="B27" s="74">
        <v>45751</v>
      </c>
      <c r="C27" s="30">
        <v>15</v>
      </c>
      <c r="D27" s="30"/>
    </row>
    <row r="28" spans="2:7" x14ac:dyDescent="0.25">
      <c r="B28" s="59" t="s">
        <v>127</v>
      </c>
      <c r="C28" s="30">
        <v>3</v>
      </c>
      <c r="D28" s="30"/>
    </row>
    <row r="29" spans="2:7" x14ac:dyDescent="0.25">
      <c r="B29" s="59" t="s">
        <v>136</v>
      </c>
      <c r="C29" s="30">
        <v>7</v>
      </c>
      <c r="D29" s="30"/>
    </row>
    <row r="30" spans="2:7" x14ac:dyDescent="0.25">
      <c r="B30" s="59" t="s">
        <v>145</v>
      </c>
      <c r="C30" s="30">
        <v>2</v>
      </c>
      <c r="D30" s="30"/>
    </row>
    <row r="31" spans="2:7" x14ac:dyDescent="0.25">
      <c r="B31" s="59" t="s">
        <v>157</v>
      </c>
      <c r="C31" s="30">
        <v>2</v>
      </c>
      <c r="D31" s="30"/>
    </row>
    <row r="32" spans="2:7" x14ac:dyDescent="0.25">
      <c r="B32" s="59" t="s">
        <v>206</v>
      </c>
      <c r="C32" s="30">
        <v>1</v>
      </c>
      <c r="D32" s="30"/>
    </row>
    <row r="33" spans="2:4" x14ac:dyDescent="0.25">
      <c r="B33" s="74">
        <v>45754</v>
      </c>
      <c r="C33" s="30">
        <v>23</v>
      </c>
      <c r="D33" s="30"/>
    </row>
    <row r="34" spans="2:4" x14ac:dyDescent="0.25">
      <c r="B34" s="59" t="s">
        <v>127</v>
      </c>
      <c r="C34" s="30">
        <v>7</v>
      </c>
    </row>
    <row r="35" spans="2:4" x14ac:dyDescent="0.25">
      <c r="B35" s="59" t="s">
        <v>136</v>
      </c>
      <c r="C35" s="30">
        <v>3</v>
      </c>
    </row>
    <row r="36" spans="2:4" x14ac:dyDescent="0.25">
      <c r="B36" s="59" t="s">
        <v>145</v>
      </c>
      <c r="C36" s="30">
        <v>4</v>
      </c>
    </row>
    <row r="37" spans="2:4" x14ac:dyDescent="0.25">
      <c r="B37" s="59" t="s">
        <v>151</v>
      </c>
      <c r="C37" s="30">
        <v>2</v>
      </c>
    </row>
    <row r="38" spans="2:4" x14ac:dyDescent="0.25">
      <c r="B38" s="59" t="s">
        <v>157</v>
      </c>
      <c r="C38" s="30">
        <v>4</v>
      </c>
    </row>
    <row r="39" spans="2:4" x14ac:dyDescent="0.25">
      <c r="B39" s="59" t="s">
        <v>167</v>
      </c>
      <c r="C39" s="30">
        <v>2</v>
      </c>
    </row>
    <row r="40" spans="2:4" x14ac:dyDescent="0.25">
      <c r="B40" s="59" t="s">
        <v>190</v>
      </c>
      <c r="C40" s="30">
        <v>1</v>
      </c>
    </row>
    <row r="41" spans="2:4" x14ac:dyDescent="0.25">
      <c r="B41" s="74">
        <v>45755</v>
      </c>
      <c r="C41" s="30">
        <v>15</v>
      </c>
    </row>
    <row r="42" spans="2:4" x14ac:dyDescent="0.25">
      <c r="B42" s="59" t="s">
        <v>127</v>
      </c>
      <c r="C42" s="30">
        <v>1</v>
      </c>
    </row>
    <row r="43" spans="2:4" x14ac:dyDescent="0.25">
      <c r="B43" s="59" t="s">
        <v>136</v>
      </c>
      <c r="C43" s="30">
        <v>6</v>
      </c>
    </row>
    <row r="44" spans="2:4" x14ac:dyDescent="0.25">
      <c r="B44" s="59" t="s">
        <v>145</v>
      </c>
      <c r="C44" s="30">
        <v>2</v>
      </c>
    </row>
    <row r="45" spans="2:4" x14ac:dyDescent="0.25">
      <c r="B45" s="59" t="s">
        <v>151</v>
      </c>
      <c r="C45" s="30">
        <v>1</v>
      </c>
    </row>
    <row r="46" spans="2:4" x14ac:dyDescent="0.25">
      <c r="B46" s="59" t="s">
        <v>157</v>
      </c>
      <c r="C46" s="30">
        <v>3</v>
      </c>
    </row>
    <row r="47" spans="2:4" x14ac:dyDescent="0.25">
      <c r="B47" s="59" t="s">
        <v>190</v>
      </c>
      <c r="C47" s="30">
        <v>1</v>
      </c>
    </row>
    <row r="48" spans="2:4" x14ac:dyDescent="0.25">
      <c r="B48" s="59" t="s">
        <v>249</v>
      </c>
      <c r="C48" s="30">
        <v>1</v>
      </c>
    </row>
    <row r="49" spans="2:3" x14ac:dyDescent="0.25">
      <c r="B49" s="74">
        <v>45756</v>
      </c>
      <c r="C49" s="30">
        <v>16</v>
      </c>
    </row>
    <row r="50" spans="2:3" x14ac:dyDescent="0.25">
      <c r="B50" s="59" t="s">
        <v>127</v>
      </c>
      <c r="C50" s="30">
        <v>4</v>
      </c>
    </row>
    <row r="51" spans="2:3" x14ac:dyDescent="0.25">
      <c r="B51" s="59" t="s">
        <v>136</v>
      </c>
      <c r="C51" s="30">
        <v>3</v>
      </c>
    </row>
    <row r="52" spans="2:3" x14ac:dyDescent="0.25">
      <c r="B52" s="59" t="s">
        <v>145</v>
      </c>
      <c r="C52" s="30">
        <v>4</v>
      </c>
    </row>
    <row r="53" spans="2:3" x14ac:dyDescent="0.25">
      <c r="B53" s="59" t="s">
        <v>151</v>
      </c>
      <c r="C53" s="30">
        <v>2</v>
      </c>
    </row>
    <row r="54" spans="2:3" x14ac:dyDescent="0.25">
      <c r="B54" s="59" t="s">
        <v>157</v>
      </c>
      <c r="C54" s="30">
        <v>3</v>
      </c>
    </row>
    <row r="55" spans="2:3" x14ac:dyDescent="0.25">
      <c r="B55" s="74">
        <v>45757</v>
      </c>
      <c r="C55" s="30">
        <v>11</v>
      </c>
    </row>
    <row r="56" spans="2:3" x14ac:dyDescent="0.25">
      <c r="B56" s="59" t="s">
        <v>127</v>
      </c>
      <c r="C56" s="30">
        <v>2</v>
      </c>
    </row>
    <row r="57" spans="2:3" x14ac:dyDescent="0.25">
      <c r="B57" s="59" t="s">
        <v>136</v>
      </c>
      <c r="C57" s="30">
        <v>2</v>
      </c>
    </row>
    <row r="58" spans="2:3" x14ac:dyDescent="0.25">
      <c r="B58" s="59" t="s">
        <v>145</v>
      </c>
      <c r="C58" s="30">
        <v>1</v>
      </c>
    </row>
    <row r="59" spans="2:3" x14ac:dyDescent="0.25">
      <c r="B59" s="59" t="s">
        <v>151</v>
      </c>
      <c r="C59" s="30">
        <v>6</v>
      </c>
    </row>
    <row r="60" spans="2:3" x14ac:dyDescent="0.25">
      <c r="B60" s="74">
        <v>45758</v>
      </c>
      <c r="C60" s="30">
        <v>20</v>
      </c>
    </row>
    <row r="61" spans="2:3" x14ac:dyDescent="0.25">
      <c r="B61" s="59" t="s">
        <v>127</v>
      </c>
      <c r="C61" s="30">
        <v>5</v>
      </c>
    </row>
    <row r="62" spans="2:3" x14ac:dyDescent="0.25">
      <c r="B62" s="59" t="s">
        <v>136</v>
      </c>
      <c r="C62" s="30">
        <v>9</v>
      </c>
    </row>
    <row r="63" spans="2:3" x14ac:dyDescent="0.25">
      <c r="B63" s="59" t="s">
        <v>145</v>
      </c>
      <c r="C63" s="30">
        <v>1</v>
      </c>
    </row>
    <row r="64" spans="2:3" x14ac:dyDescent="0.25">
      <c r="B64" s="59" t="s">
        <v>151</v>
      </c>
      <c r="C64" s="30">
        <v>3</v>
      </c>
    </row>
    <row r="65" spans="2:3" x14ac:dyDescent="0.25">
      <c r="B65" s="59" t="s">
        <v>206</v>
      </c>
      <c r="C65" s="30">
        <v>2</v>
      </c>
    </row>
    <row r="66" spans="2:3" x14ac:dyDescent="0.25">
      <c r="B66" s="74">
        <v>45761</v>
      </c>
      <c r="C66" s="30">
        <v>12</v>
      </c>
    </row>
    <row r="67" spans="2:3" x14ac:dyDescent="0.25">
      <c r="B67" s="59" t="s">
        <v>136</v>
      </c>
      <c r="C67" s="30">
        <v>8</v>
      </c>
    </row>
    <row r="68" spans="2:3" x14ac:dyDescent="0.25">
      <c r="B68" s="59" t="s">
        <v>151</v>
      </c>
      <c r="C68" s="30">
        <v>4</v>
      </c>
    </row>
    <row r="69" spans="2:3" x14ac:dyDescent="0.25">
      <c r="B69" s="74">
        <v>45762</v>
      </c>
      <c r="C69" s="30">
        <v>6</v>
      </c>
    </row>
    <row r="70" spans="2:3" x14ac:dyDescent="0.25">
      <c r="B70" s="59" t="s">
        <v>136</v>
      </c>
      <c r="C70" s="30">
        <v>1</v>
      </c>
    </row>
    <row r="71" spans="2:3" x14ac:dyDescent="0.25">
      <c r="B71" s="59" t="s">
        <v>145</v>
      </c>
      <c r="C71" s="30">
        <v>2</v>
      </c>
    </row>
    <row r="72" spans="2:3" x14ac:dyDescent="0.25">
      <c r="B72" s="59" t="s">
        <v>151</v>
      </c>
      <c r="C72" s="30">
        <v>1</v>
      </c>
    </row>
    <row r="73" spans="2:3" x14ac:dyDescent="0.25">
      <c r="B73" s="59" t="s">
        <v>157</v>
      </c>
      <c r="C73" s="30">
        <v>1</v>
      </c>
    </row>
    <row r="74" spans="2:3" x14ac:dyDescent="0.25">
      <c r="B74" s="59" t="s">
        <v>206</v>
      </c>
      <c r="C74" s="30">
        <v>1</v>
      </c>
    </row>
    <row r="75" spans="2:3" x14ac:dyDescent="0.25">
      <c r="B75" s="74">
        <v>45763</v>
      </c>
      <c r="C75" s="30">
        <v>10</v>
      </c>
    </row>
    <row r="76" spans="2:3" x14ac:dyDescent="0.25">
      <c r="B76" s="59" t="s">
        <v>136</v>
      </c>
      <c r="C76" s="30">
        <v>4</v>
      </c>
    </row>
    <row r="77" spans="2:3" x14ac:dyDescent="0.25">
      <c r="B77" s="59" t="s">
        <v>145</v>
      </c>
      <c r="C77" s="30">
        <v>1</v>
      </c>
    </row>
    <row r="78" spans="2:3" x14ac:dyDescent="0.25">
      <c r="B78" s="59" t="s">
        <v>151</v>
      </c>
      <c r="C78" s="30">
        <v>3</v>
      </c>
    </row>
    <row r="79" spans="2:3" x14ac:dyDescent="0.25">
      <c r="B79" s="59" t="s">
        <v>157</v>
      </c>
      <c r="C79" s="30">
        <v>1</v>
      </c>
    </row>
    <row r="80" spans="2:3" x14ac:dyDescent="0.25">
      <c r="B80" s="59" t="s">
        <v>190</v>
      </c>
      <c r="C80" s="30">
        <v>1</v>
      </c>
    </row>
    <row r="81" spans="2:3" x14ac:dyDescent="0.25">
      <c r="B81" s="74">
        <v>45764</v>
      </c>
      <c r="C81" s="30">
        <v>12</v>
      </c>
    </row>
    <row r="82" spans="2:3" x14ac:dyDescent="0.25">
      <c r="B82" s="59" t="s">
        <v>136</v>
      </c>
      <c r="C82" s="30">
        <v>3</v>
      </c>
    </row>
    <row r="83" spans="2:3" x14ac:dyDescent="0.25">
      <c r="B83" s="59" t="s">
        <v>145</v>
      </c>
      <c r="C83" s="30">
        <v>2</v>
      </c>
    </row>
    <row r="84" spans="2:3" x14ac:dyDescent="0.25">
      <c r="B84" s="59" t="s">
        <v>151</v>
      </c>
      <c r="C84" s="30">
        <v>3</v>
      </c>
    </row>
    <row r="85" spans="2:3" x14ac:dyDescent="0.25">
      <c r="B85" s="59" t="s">
        <v>157</v>
      </c>
      <c r="C85" s="30">
        <v>3</v>
      </c>
    </row>
    <row r="86" spans="2:3" x14ac:dyDescent="0.25">
      <c r="B86" s="59" t="s">
        <v>206</v>
      </c>
      <c r="C86" s="30">
        <v>1</v>
      </c>
    </row>
    <row r="87" spans="2:3" x14ac:dyDescent="0.25">
      <c r="B87" s="74">
        <v>45769</v>
      </c>
      <c r="C87" s="30">
        <v>20</v>
      </c>
    </row>
    <row r="88" spans="2:3" x14ac:dyDescent="0.25">
      <c r="B88" s="59" t="s">
        <v>127</v>
      </c>
      <c r="C88" s="30">
        <v>6</v>
      </c>
    </row>
    <row r="89" spans="2:3" x14ac:dyDescent="0.25">
      <c r="B89" s="59" t="s">
        <v>136</v>
      </c>
      <c r="C89" s="30">
        <v>3</v>
      </c>
    </row>
    <row r="90" spans="2:3" x14ac:dyDescent="0.25">
      <c r="B90" s="59" t="s">
        <v>145</v>
      </c>
      <c r="C90" s="30">
        <v>3</v>
      </c>
    </row>
    <row r="91" spans="2:3" x14ac:dyDescent="0.25">
      <c r="B91" s="59" t="s">
        <v>151</v>
      </c>
      <c r="C91" s="30">
        <v>2</v>
      </c>
    </row>
    <row r="92" spans="2:3" x14ac:dyDescent="0.25">
      <c r="B92" s="59" t="s">
        <v>167</v>
      </c>
      <c r="C92" s="30">
        <v>6</v>
      </c>
    </row>
    <row r="93" spans="2:3" x14ac:dyDescent="0.25">
      <c r="B93" s="74">
        <v>45770</v>
      </c>
      <c r="C93" s="30">
        <v>7</v>
      </c>
    </row>
    <row r="94" spans="2:3" x14ac:dyDescent="0.25">
      <c r="B94" s="59" t="s">
        <v>127</v>
      </c>
      <c r="C94" s="30">
        <v>2</v>
      </c>
    </row>
    <row r="95" spans="2:3" x14ac:dyDescent="0.25">
      <c r="B95" s="59" t="s">
        <v>151</v>
      </c>
      <c r="C95" s="30">
        <v>4</v>
      </c>
    </row>
    <row r="96" spans="2:3" x14ac:dyDescent="0.25">
      <c r="B96" s="59" t="s">
        <v>167</v>
      </c>
      <c r="C96" s="30">
        <v>1</v>
      </c>
    </row>
    <row r="97" spans="2:3" x14ac:dyDescent="0.25">
      <c r="B97" s="74">
        <v>45771</v>
      </c>
      <c r="C97" s="30">
        <v>12</v>
      </c>
    </row>
    <row r="98" spans="2:3" x14ac:dyDescent="0.25">
      <c r="B98" s="59" t="s">
        <v>136</v>
      </c>
      <c r="C98" s="30">
        <v>7</v>
      </c>
    </row>
    <row r="99" spans="2:3" x14ac:dyDescent="0.25">
      <c r="B99" s="59" t="s">
        <v>145</v>
      </c>
      <c r="C99" s="30">
        <v>1</v>
      </c>
    </row>
    <row r="100" spans="2:3" x14ac:dyDescent="0.25">
      <c r="B100" s="59" t="s">
        <v>151</v>
      </c>
      <c r="C100" s="30">
        <v>2</v>
      </c>
    </row>
    <row r="101" spans="2:3" x14ac:dyDescent="0.25">
      <c r="B101" s="59" t="s">
        <v>190</v>
      </c>
      <c r="C101" s="30">
        <v>1</v>
      </c>
    </row>
    <row r="102" spans="2:3" x14ac:dyDescent="0.25">
      <c r="B102" s="59" t="s">
        <v>206</v>
      </c>
      <c r="C102" s="30">
        <v>1</v>
      </c>
    </row>
    <row r="103" spans="2:3" x14ac:dyDescent="0.25">
      <c r="B103" s="74">
        <v>45772</v>
      </c>
      <c r="C103" s="30">
        <v>18</v>
      </c>
    </row>
    <row r="104" spans="2:3" x14ac:dyDescent="0.25">
      <c r="B104" s="59" t="s">
        <v>127</v>
      </c>
      <c r="C104" s="30">
        <v>3</v>
      </c>
    </row>
    <row r="105" spans="2:3" x14ac:dyDescent="0.25">
      <c r="B105" s="59" t="s">
        <v>136</v>
      </c>
      <c r="C105" s="30">
        <v>1</v>
      </c>
    </row>
    <row r="106" spans="2:3" x14ac:dyDescent="0.25">
      <c r="B106" s="59" t="s">
        <v>145</v>
      </c>
      <c r="C106" s="30">
        <v>1</v>
      </c>
    </row>
    <row r="107" spans="2:3" x14ac:dyDescent="0.25">
      <c r="B107" s="59" t="s">
        <v>151</v>
      </c>
      <c r="C107" s="30">
        <v>1</v>
      </c>
    </row>
    <row r="108" spans="2:3" x14ac:dyDescent="0.25">
      <c r="B108" s="59" t="s">
        <v>157</v>
      </c>
      <c r="C108" s="30">
        <v>1</v>
      </c>
    </row>
    <row r="109" spans="2:3" x14ac:dyDescent="0.25">
      <c r="B109" s="59" t="s">
        <v>167</v>
      </c>
      <c r="C109" s="30">
        <v>10</v>
      </c>
    </row>
    <row r="110" spans="2:3" x14ac:dyDescent="0.25">
      <c r="B110" s="59" t="s">
        <v>206</v>
      </c>
      <c r="C110" s="30">
        <v>1</v>
      </c>
    </row>
    <row r="111" spans="2:3" x14ac:dyDescent="0.25">
      <c r="B111" s="74">
        <v>45775</v>
      </c>
      <c r="C111" s="30">
        <v>13</v>
      </c>
    </row>
    <row r="112" spans="2:3" x14ac:dyDescent="0.25">
      <c r="B112" s="59" t="s">
        <v>127</v>
      </c>
      <c r="C112" s="30">
        <v>3</v>
      </c>
    </row>
    <row r="113" spans="2:3" x14ac:dyDescent="0.25">
      <c r="B113" s="59" t="s">
        <v>136</v>
      </c>
      <c r="C113" s="30">
        <v>2</v>
      </c>
    </row>
    <row r="114" spans="2:3" x14ac:dyDescent="0.25">
      <c r="B114" s="59" t="s">
        <v>145</v>
      </c>
      <c r="C114" s="30">
        <v>2</v>
      </c>
    </row>
    <row r="115" spans="2:3" x14ac:dyDescent="0.25">
      <c r="B115" s="59" t="s">
        <v>151</v>
      </c>
      <c r="C115" s="30">
        <v>5</v>
      </c>
    </row>
    <row r="116" spans="2:3" x14ac:dyDescent="0.25">
      <c r="B116" s="59" t="s">
        <v>167</v>
      </c>
      <c r="C116" s="30">
        <v>1</v>
      </c>
    </row>
    <row r="117" spans="2:3" x14ac:dyDescent="0.25">
      <c r="B117" s="74">
        <v>45776</v>
      </c>
      <c r="C117" s="30">
        <v>12</v>
      </c>
    </row>
    <row r="118" spans="2:3" x14ac:dyDescent="0.25">
      <c r="B118" s="59" t="s">
        <v>127</v>
      </c>
      <c r="C118" s="30">
        <v>1</v>
      </c>
    </row>
    <row r="119" spans="2:3" x14ac:dyDescent="0.25">
      <c r="B119" s="59" t="s">
        <v>136</v>
      </c>
      <c r="C119" s="30">
        <v>2</v>
      </c>
    </row>
    <row r="120" spans="2:3" x14ac:dyDescent="0.25">
      <c r="B120" s="59" t="s">
        <v>151</v>
      </c>
      <c r="C120" s="30">
        <v>1</v>
      </c>
    </row>
    <row r="121" spans="2:3" x14ac:dyDescent="0.25">
      <c r="B121" s="59" t="s">
        <v>157</v>
      </c>
      <c r="C121" s="30">
        <v>4</v>
      </c>
    </row>
    <row r="122" spans="2:3" x14ac:dyDescent="0.25">
      <c r="B122" s="59" t="s">
        <v>167</v>
      </c>
      <c r="C122" s="30">
        <v>3</v>
      </c>
    </row>
    <row r="123" spans="2:3" x14ac:dyDescent="0.25">
      <c r="B123" s="59" t="s">
        <v>190</v>
      </c>
      <c r="C123" s="30">
        <v>1</v>
      </c>
    </row>
    <row r="124" spans="2:3" x14ac:dyDescent="0.25">
      <c r="B124" s="74">
        <v>45777</v>
      </c>
      <c r="C124" s="30">
        <v>19</v>
      </c>
    </row>
    <row r="125" spans="2:3" x14ac:dyDescent="0.25">
      <c r="B125" s="59" t="s">
        <v>127</v>
      </c>
      <c r="C125" s="30">
        <v>2</v>
      </c>
    </row>
    <row r="126" spans="2:3" x14ac:dyDescent="0.25">
      <c r="B126" s="59" t="s">
        <v>136</v>
      </c>
      <c r="C126" s="30">
        <v>5</v>
      </c>
    </row>
    <row r="127" spans="2:3" x14ac:dyDescent="0.25">
      <c r="B127" s="59" t="s">
        <v>145</v>
      </c>
      <c r="C127" s="30">
        <v>2</v>
      </c>
    </row>
    <row r="128" spans="2:3" x14ac:dyDescent="0.25">
      <c r="B128" s="59" t="s">
        <v>151</v>
      </c>
      <c r="C128" s="30">
        <v>4</v>
      </c>
    </row>
    <row r="129" spans="2:3" x14ac:dyDescent="0.25">
      <c r="B129" s="59" t="s">
        <v>157</v>
      </c>
      <c r="C129" s="30">
        <v>3</v>
      </c>
    </row>
    <row r="130" spans="2:3" x14ac:dyDescent="0.25">
      <c r="B130" s="59" t="s">
        <v>167</v>
      </c>
      <c r="C130" s="30">
        <v>2</v>
      </c>
    </row>
    <row r="131" spans="2:3" x14ac:dyDescent="0.25">
      <c r="B131" s="59" t="s">
        <v>190</v>
      </c>
      <c r="C131" s="30">
        <v>1</v>
      </c>
    </row>
    <row r="132" spans="2:3" x14ac:dyDescent="0.25">
      <c r="B132" s="29" t="s">
        <v>70</v>
      </c>
      <c r="C132" s="30">
        <v>291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S292"/>
  <sheetViews>
    <sheetView workbookViewId="0">
      <selection activeCell="AF298" sqref="AF298"/>
    </sheetView>
  </sheetViews>
  <sheetFormatPr defaultRowHeight="15" x14ac:dyDescent="0.25"/>
  <cols>
    <col min="1" max="2" width="15.140625" style="51" customWidth="1"/>
    <col min="3" max="3" width="15.7109375" style="51" customWidth="1"/>
    <col min="4" max="4" width="18.140625" style="52" customWidth="1"/>
    <col min="5" max="5" width="19.140625" style="51" customWidth="1"/>
    <col min="6" max="6" width="17" style="51" bestFit="1" customWidth="1"/>
    <col min="7" max="7" width="17" style="51" customWidth="1"/>
    <col min="8" max="8" width="183.5703125" style="51" bestFit="1" customWidth="1"/>
    <col min="9" max="9" width="21.7109375" style="51" bestFit="1" customWidth="1"/>
    <col min="10" max="10" width="17.5703125" style="51" bestFit="1" customWidth="1"/>
    <col min="11" max="11" width="16" style="51" bestFit="1" customWidth="1"/>
    <col min="12" max="12" width="13.28515625" style="51" customWidth="1"/>
    <col min="13" max="13" width="14" style="51" customWidth="1"/>
    <col min="14" max="14" width="14.7109375" style="51" bestFit="1" customWidth="1"/>
    <col min="15" max="15" width="12.85546875" style="51" customWidth="1"/>
    <col min="16" max="16" width="14.28515625" style="51" bestFit="1" customWidth="1"/>
    <col min="17" max="17" width="15.7109375" style="51" bestFit="1" customWidth="1"/>
    <col min="18" max="18" width="22.5703125" style="51" bestFit="1" customWidth="1"/>
    <col min="19" max="20" width="13.42578125" style="62" bestFit="1" customWidth="1"/>
    <col min="21" max="21" width="14.140625" style="62" customWidth="1"/>
    <col min="22" max="22" width="25" style="62" customWidth="1"/>
    <col min="23" max="23" width="17.5703125" style="62" customWidth="1"/>
    <col min="24" max="24" width="15.42578125" style="62" bestFit="1" customWidth="1"/>
    <col min="25" max="25" width="20.140625" style="51" bestFit="1" customWidth="1"/>
    <col min="26" max="26" width="11.42578125" style="53" bestFit="1" customWidth="1"/>
    <col min="27" max="27" width="14.140625" style="51" customWidth="1"/>
    <col min="28" max="28" width="11.42578125" style="51" customWidth="1"/>
    <col min="29" max="29" width="11.85546875" style="51" customWidth="1"/>
    <col min="30" max="30" width="14.42578125" style="51" customWidth="1"/>
    <col min="31" max="31" width="15.7109375" style="51" customWidth="1"/>
    <col min="32" max="32" width="19.85546875" style="51" customWidth="1"/>
    <col min="33" max="33" width="14" style="51" customWidth="1"/>
    <col min="34" max="34" width="20" style="51" customWidth="1"/>
    <col min="35" max="35" width="26.42578125" style="51" bestFit="1" customWidth="1"/>
    <col min="36" max="36" width="18.42578125" style="51" customWidth="1"/>
    <col min="37" max="37" width="23.140625" style="51" bestFit="1" customWidth="1"/>
    <col min="38" max="38" width="17.85546875" style="51" bestFit="1" customWidth="1"/>
    <col min="39" max="39" width="19.42578125" style="16" customWidth="1"/>
    <col min="40" max="40" width="12.85546875" style="16" customWidth="1"/>
    <col min="41" max="41" width="13.85546875" style="16" bestFit="1" customWidth="1"/>
    <col min="42" max="42" width="26.85546875" style="16" customWidth="1"/>
    <col min="43" max="43" width="11.7109375" style="16" bestFit="1" customWidth="1"/>
    <col min="44" max="44" width="16.140625" style="16" bestFit="1" customWidth="1"/>
    <col min="45" max="45" width="14.5703125" style="16" customWidth="1"/>
    <col min="46" max="46" width="9" customWidth="1"/>
  </cols>
  <sheetData>
    <row r="1" spans="1:45" s="2" customFormat="1" ht="16.5" customHeight="1" x14ac:dyDescent="0.25">
      <c r="A1" s="48" t="s">
        <v>25</v>
      </c>
      <c r="B1" s="48" t="s">
        <v>3</v>
      </c>
      <c r="C1" s="48" t="s">
        <v>4</v>
      </c>
      <c r="D1" s="49" t="s">
        <v>26</v>
      </c>
      <c r="E1" s="48" t="s">
        <v>30</v>
      </c>
      <c r="F1" s="48" t="s">
        <v>23</v>
      </c>
      <c r="G1" s="48" t="s">
        <v>96</v>
      </c>
      <c r="H1" s="48" t="s">
        <v>21</v>
      </c>
      <c r="I1" s="48" t="s">
        <v>0</v>
      </c>
      <c r="J1" s="48" t="s">
        <v>20</v>
      </c>
      <c r="K1" s="48" t="s">
        <v>27</v>
      </c>
      <c r="L1" s="48" t="s">
        <v>24</v>
      </c>
      <c r="M1" s="48" t="s">
        <v>10</v>
      </c>
      <c r="N1" s="48" t="s">
        <v>11</v>
      </c>
      <c r="O1" s="48" t="s">
        <v>12</v>
      </c>
      <c r="P1" s="48" t="s">
        <v>13</v>
      </c>
      <c r="Q1" s="48" t="s">
        <v>14</v>
      </c>
      <c r="R1" s="48" t="s">
        <v>15</v>
      </c>
      <c r="S1" s="61" t="s">
        <v>63</v>
      </c>
      <c r="T1" s="61" t="s">
        <v>8</v>
      </c>
      <c r="U1" s="61" t="s">
        <v>9</v>
      </c>
      <c r="V1" s="61" t="s">
        <v>28</v>
      </c>
      <c r="W1" s="61" t="s">
        <v>31</v>
      </c>
      <c r="X1" s="61" t="s">
        <v>22</v>
      </c>
      <c r="Y1" s="48" t="s">
        <v>85</v>
      </c>
      <c r="Z1" s="50" t="s">
        <v>86</v>
      </c>
      <c r="AA1" s="48" t="s">
        <v>1</v>
      </c>
      <c r="AB1" s="48" t="s">
        <v>105</v>
      </c>
      <c r="AC1" s="48" t="s">
        <v>2</v>
      </c>
      <c r="AD1" s="48" t="s">
        <v>5</v>
      </c>
      <c r="AE1" s="48" t="s">
        <v>6</v>
      </c>
      <c r="AF1" s="48" t="s">
        <v>7</v>
      </c>
      <c r="AG1" s="48" t="s">
        <v>16</v>
      </c>
      <c r="AH1" s="48" t="s">
        <v>17</v>
      </c>
      <c r="AI1" s="48" t="s">
        <v>18</v>
      </c>
      <c r="AJ1" s="48" t="s">
        <v>88</v>
      </c>
      <c r="AK1" s="48" t="s">
        <v>19</v>
      </c>
      <c r="AL1" s="48" t="s">
        <v>82</v>
      </c>
      <c r="AM1" s="15" t="s">
        <v>48</v>
      </c>
      <c r="AN1" s="27" t="s">
        <v>65</v>
      </c>
      <c r="AO1" s="27" t="s">
        <v>67</v>
      </c>
      <c r="AP1" s="15" t="s">
        <v>49</v>
      </c>
      <c r="AQ1" s="27" t="s">
        <v>64</v>
      </c>
      <c r="AR1" s="55" t="s">
        <v>92</v>
      </c>
      <c r="AS1" s="58" t="s">
        <v>101</v>
      </c>
    </row>
    <row r="2" spans="1:45" s="63" customFormat="1" x14ac:dyDescent="0.25">
      <c r="A2" t="s">
        <v>29</v>
      </c>
      <c r="B2" t="s">
        <v>121</v>
      </c>
      <c r="C2" t="s">
        <v>122</v>
      </c>
      <c r="D2" s="65">
        <v>202504281053</v>
      </c>
      <c r="E2" t="s">
        <v>123</v>
      </c>
      <c r="F2" t="s">
        <v>124</v>
      </c>
      <c r="G2"/>
      <c r="H2" t="s">
        <v>125</v>
      </c>
      <c r="I2" t="s">
        <v>126</v>
      </c>
      <c r="J2" t="s">
        <v>127</v>
      </c>
      <c r="K2" t="s">
        <v>128</v>
      </c>
      <c r="L2">
        <v>2</v>
      </c>
      <c r="M2" t="s">
        <v>129</v>
      </c>
      <c r="N2">
        <v>6</v>
      </c>
      <c r="O2"/>
      <c r="P2"/>
      <c r="Q2"/>
      <c r="R2"/>
      <c r="S2" s="72">
        <v>45775</v>
      </c>
      <c r="T2" s="72">
        <v>45775</v>
      </c>
      <c r="U2" s="72">
        <v>45775</v>
      </c>
      <c r="V2" s="72" t="s">
        <v>130</v>
      </c>
      <c r="W2" s="72">
        <v>45775</v>
      </c>
      <c r="X2" s="72" t="s">
        <v>130</v>
      </c>
      <c r="Y2"/>
      <c r="Z2"/>
      <c r="AA2" t="s">
        <v>131</v>
      </c>
      <c r="AB2" t="s">
        <v>132</v>
      </c>
      <c r="AC2" t="s">
        <v>131</v>
      </c>
      <c r="AD2" t="s">
        <v>131</v>
      </c>
      <c r="AE2" t="s">
        <v>131</v>
      </c>
      <c r="AF2" t="s">
        <v>131</v>
      </c>
      <c r="AG2" t="s">
        <v>131</v>
      </c>
      <c r="AH2" t="s">
        <v>131</v>
      </c>
      <c r="AI2" t="s">
        <v>131</v>
      </c>
      <c r="AJ2">
        <v>0</v>
      </c>
      <c r="AK2" t="s">
        <v>131</v>
      </c>
      <c r="AL2" t="s">
        <v>132</v>
      </c>
      <c r="AM2" s="63">
        <f>IF(OR(AC2="Yes",K2="Info Request", K2="Side-Project"),0,(NETWORKDAYS(T2,U2,Holidays!A$2:A$13))-1)</f>
        <v>0</v>
      </c>
      <c r="AN2" s="63">
        <f>IF(OR(AC2="Yes",K2="Info Request", K2="Side-Project"),0,(NETWORKDAYS(U2,W2,Holidays!A$2:A$13))-1)</f>
        <v>0</v>
      </c>
      <c r="AO2" s="63">
        <f>IF(OR(V2="none"),0,((NETWORKDAYS(S2,V2,Holidays!A$2:A$13))-1))</f>
        <v>0</v>
      </c>
      <c r="AP2" s="63" t="b">
        <f t="shared" ref="AP2" si="0">OR(AO2&lt;=L2)</f>
        <v>1</v>
      </c>
      <c r="AQ2" s="63" t="b">
        <f t="shared" ref="AQ2" si="1">OR(AM2&lt;=L2)</f>
        <v>1</v>
      </c>
      <c r="AR2" s="64" t="str">
        <f t="shared" ref="AR2" si="2">IF(AJ2 &gt; (N2 + O2), "too many URLs", "OK")</f>
        <v>OK</v>
      </c>
      <c r="AS2" s="64" t="str">
        <f>IF(table_data[[#This Row],[Flagged-Issues]] = 0, "", table_data[[#This Row],[Flagged-Issues]])</f>
        <v/>
      </c>
    </row>
    <row r="3" spans="1:45" x14ac:dyDescent="0.25">
      <c r="A3" t="s">
        <v>104</v>
      </c>
      <c r="B3" t="s">
        <v>121</v>
      </c>
      <c r="C3" t="s">
        <v>122</v>
      </c>
      <c r="D3" s="65">
        <v>202504220855</v>
      </c>
      <c r="E3" t="s">
        <v>133</v>
      </c>
      <c r="F3" t="s">
        <v>134</v>
      </c>
      <c r="G3"/>
      <c r="H3" t="s">
        <v>135</v>
      </c>
      <c r="I3" t="s">
        <v>126</v>
      </c>
      <c r="J3" t="s">
        <v>136</v>
      </c>
      <c r="K3" t="s">
        <v>128</v>
      </c>
      <c r="L3">
        <v>2</v>
      </c>
      <c r="M3" t="s">
        <v>137</v>
      </c>
      <c r="N3">
        <v>2</v>
      </c>
      <c r="O3"/>
      <c r="P3"/>
      <c r="Q3"/>
      <c r="R3"/>
      <c r="S3" s="72">
        <v>45769</v>
      </c>
      <c r="T3" s="72">
        <v>45769</v>
      </c>
      <c r="U3" s="72">
        <v>45769</v>
      </c>
      <c r="V3" s="72" t="s">
        <v>130</v>
      </c>
      <c r="W3" s="72">
        <v>45771</v>
      </c>
      <c r="X3" s="72" t="s">
        <v>130</v>
      </c>
      <c r="Y3"/>
      <c r="Z3"/>
      <c r="AA3" t="s">
        <v>131</v>
      </c>
      <c r="AB3" t="s">
        <v>132</v>
      </c>
      <c r="AC3" t="s">
        <v>131</v>
      </c>
      <c r="AD3" t="s">
        <v>131</v>
      </c>
      <c r="AE3" t="s">
        <v>131</v>
      </c>
      <c r="AF3" t="s">
        <v>131</v>
      </c>
      <c r="AG3" t="s">
        <v>131</v>
      </c>
      <c r="AH3" t="s">
        <v>131</v>
      </c>
      <c r="AI3" t="s">
        <v>131</v>
      </c>
      <c r="AJ3">
        <v>0</v>
      </c>
      <c r="AK3" t="s">
        <v>131</v>
      </c>
      <c r="AL3" t="s">
        <v>132</v>
      </c>
      <c r="AM3" s="16">
        <f>IF(OR(AC3="Yes",K3="Info Request", K3="Side-Project"),0,(NETWORKDAYS(T3,U3,Holidays!A$2:A$13))-1)</f>
        <v>0</v>
      </c>
      <c r="AN3" s="16">
        <f>IF(OR(AC3="Yes",K3="Info Request", K3="Side-Project"),0,(NETWORKDAYS(U3,W3,Holidays!A$2:A$13))-1)</f>
        <v>2</v>
      </c>
      <c r="AO3" s="16">
        <f>IF(OR(V3="none"),0,((NETWORKDAYS(S3,V3,Holidays!A$2:A$13))-1))</f>
        <v>0</v>
      </c>
      <c r="AP3" s="16" t="b">
        <f t="shared" ref="AP3:AP66" si="3">OR(AO3&lt;=L3)</f>
        <v>1</v>
      </c>
      <c r="AQ3" s="16" t="b">
        <f t="shared" ref="AQ3:AQ66" si="4">OR(AM3&lt;=L3)</f>
        <v>1</v>
      </c>
      <c r="AR3" s="60" t="str">
        <f t="shared" ref="AR3:AR66" si="5">IF(AJ3 &gt; (N3 + O3), "too many URLs", "OK")</f>
        <v>OK</v>
      </c>
      <c r="AS3" s="60" t="str">
        <f>IF(table_data[[#This Row],[Flagged-Issues]] = 0, "", table_data[[#This Row],[Flagged-Issues]])</f>
        <v/>
      </c>
    </row>
    <row r="4" spans="1:45" x14ac:dyDescent="0.25">
      <c r="A4" t="s">
        <v>29</v>
      </c>
      <c r="B4" t="s">
        <v>121</v>
      </c>
      <c r="C4" t="s">
        <v>122</v>
      </c>
      <c r="D4" s="65">
        <v>202504221512</v>
      </c>
      <c r="E4" t="s">
        <v>138</v>
      </c>
      <c r="F4" t="s">
        <v>139</v>
      </c>
      <c r="G4"/>
      <c r="H4" t="s">
        <v>140</v>
      </c>
      <c r="I4" t="s">
        <v>126</v>
      </c>
      <c r="J4" t="s">
        <v>136</v>
      </c>
      <c r="K4" t="s">
        <v>128</v>
      </c>
      <c r="L4">
        <v>2</v>
      </c>
      <c r="M4" t="s">
        <v>141</v>
      </c>
      <c r="N4">
        <v>2</v>
      </c>
      <c r="O4"/>
      <c r="P4"/>
      <c r="Q4"/>
      <c r="R4"/>
      <c r="S4" s="72">
        <v>45769</v>
      </c>
      <c r="T4" s="72">
        <v>45770</v>
      </c>
      <c r="U4" s="72">
        <v>45770</v>
      </c>
      <c r="V4" s="72" t="s">
        <v>130</v>
      </c>
      <c r="W4" s="72">
        <v>45771</v>
      </c>
      <c r="X4" s="72" t="s">
        <v>130</v>
      </c>
      <c r="Y4"/>
      <c r="Z4"/>
      <c r="AA4" t="s">
        <v>131</v>
      </c>
      <c r="AB4" t="s">
        <v>131</v>
      </c>
      <c r="AC4" t="s">
        <v>131</v>
      </c>
      <c r="AD4" t="s">
        <v>131</v>
      </c>
      <c r="AE4" t="s">
        <v>131</v>
      </c>
      <c r="AF4" t="s">
        <v>131</v>
      </c>
      <c r="AG4" t="s">
        <v>131</v>
      </c>
      <c r="AH4" t="s">
        <v>131</v>
      </c>
      <c r="AI4" t="s">
        <v>131</v>
      </c>
      <c r="AJ4">
        <v>0</v>
      </c>
      <c r="AK4" t="s">
        <v>131</v>
      </c>
      <c r="AL4" t="s">
        <v>132</v>
      </c>
      <c r="AM4" s="16">
        <f>IF(OR(AC4="Yes",K4="Info Request", K4="Side-Project"),0,(NETWORKDAYS(T4,U4,Holidays!A$2:A$13))-1)</f>
        <v>0</v>
      </c>
      <c r="AN4" s="16">
        <f>IF(OR(AC4="Yes",K4="Info Request", K4="Side-Project"),0,(NETWORKDAYS(U4,W4,Holidays!A$2:A$13))-1)</f>
        <v>1</v>
      </c>
      <c r="AO4" s="16">
        <f>IF(OR(V4="none"),0,((NETWORKDAYS(S4,V4,Holidays!A$2:A$13))-1))</f>
        <v>0</v>
      </c>
      <c r="AP4" s="16" t="b">
        <f t="shared" si="3"/>
        <v>1</v>
      </c>
      <c r="AQ4" s="16" t="b">
        <f t="shared" si="4"/>
        <v>1</v>
      </c>
      <c r="AR4" s="60" t="str">
        <f t="shared" si="5"/>
        <v>OK</v>
      </c>
      <c r="AS4" s="60" t="str">
        <f>IF(table_data[[#This Row],[Flagged-Issues]] = 0, "", table_data[[#This Row],[Flagged-Issues]])</f>
        <v/>
      </c>
    </row>
    <row r="5" spans="1:45" x14ac:dyDescent="0.25">
      <c r="A5" t="s">
        <v>29</v>
      </c>
      <c r="B5" t="s">
        <v>121</v>
      </c>
      <c r="C5" t="s">
        <v>122</v>
      </c>
      <c r="D5" s="65">
        <v>202504221414</v>
      </c>
      <c r="E5" t="s">
        <v>138</v>
      </c>
      <c r="F5" t="s">
        <v>139</v>
      </c>
      <c r="G5"/>
      <c r="H5" t="s">
        <v>142</v>
      </c>
      <c r="I5" t="s">
        <v>126</v>
      </c>
      <c r="J5" t="s">
        <v>127</v>
      </c>
      <c r="K5" t="s">
        <v>128</v>
      </c>
      <c r="L5">
        <v>2</v>
      </c>
      <c r="M5" t="s">
        <v>143</v>
      </c>
      <c r="N5">
        <v>2</v>
      </c>
      <c r="O5"/>
      <c r="P5"/>
      <c r="Q5">
        <v>1</v>
      </c>
      <c r="R5"/>
      <c r="S5" s="72">
        <v>45769</v>
      </c>
      <c r="T5" s="72">
        <v>45769</v>
      </c>
      <c r="U5" s="72">
        <v>45769</v>
      </c>
      <c r="V5" s="72" t="s">
        <v>130</v>
      </c>
      <c r="W5" s="72">
        <v>45769</v>
      </c>
      <c r="X5" s="72" t="s">
        <v>130</v>
      </c>
      <c r="Y5"/>
      <c r="Z5"/>
      <c r="AA5" t="s">
        <v>131</v>
      </c>
      <c r="AB5" t="s">
        <v>132</v>
      </c>
      <c r="AC5" t="s">
        <v>131</v>
      </c>
      <c r="AD5" t="s">
        <v>131</v>
      </c>
      <c r="AE5" t="s">
        <v>131</v>
      </c>
      <c r="AF5" t="s">
        <v>131</v>
      </c>
      <c r="AG5" t="s">
        <v>131</v>
      </c>
      <c r="AH5" t="s">
        <v>131</v>
      </c>
      <c r="AI5" t="s">
        <v>131</v>
      </c>
      <c r="AJ5">
        <v>0</v>
      </c>
      <c r="AK5" t="s">
        <v>131</v>
      </c>
      <c r="AL5" t="s">
        <v>132</v>
      </c>
      <c r="AM5" s="16">
        <f>IF(OR(AC5="Yes",K5="Info Request", K5="Side-Project"),0,(NETWORKDAYS(T5,U5,Holidays!A$2:A$13))-1)</f>
        <v>0</v>
      </c>
      <c r="AN5" s="16">
        <f>IF(OR(AC5="Yes",K5="Info Request", K5="Side-Project"),0,(NETWORKDAYS(U5,W5,Holidays!A$2:A$13))-1)</f>
        <v>0</v>
      </c>
      <c r="AO5" s="16">
        <f>IF(OR(V5="none"),0,((NETWORKDAYS(S5,V5,Holidays!A$2:A$13))-1))</f>
        <v>0</v>
      </c>
      <c r="AP5" s="16" t="b">
        <f t="shared" si="3"/>
        <v>1</v>
      </c>
      <c r="AQ5" s="16" t="b">
        <f t="shared" si="4"/>
        <v>1</v>
      </c>
      <c r="AR5" s="60" t="str">
        <f t="shared" si="5"/>
        <v>OK</v>
      </c>
      <c r="AS5" s="60" t="str">
        <f>IF(table_data[[#This Row],[Flagged-Issues]] = 0, "", table_data[[#This Row],[Flagged-Issues]])</f>
        <v/>
      </c>
    </row>
    <row r="6" spans="1:45" x14ac:dyDescent="0.25">
      <c r="A6" t="s">
        <v>29</v>
      </c>
      <c r="B6" t="s">
        <v>121</v>
      </c>
      <c r="C6" t="s">
        <v>122</v>
      </c>
      <c r="D6" s="65">
        <v>202504221357</v>
      </c>
      <c r="E6" t="s">
        <v>138</v>
      </c>
      <c r="F6" t="s">
        <v>139</v>
      </c>
      <c r="G6"/>
      <c r="H6" t="s">
        <v>144</v>
      </c>
      <c r="I6" t="s">
        <v>126</v>
      </c>
      <c r="J6" t="s">
        <v>145</v>
      </c>
      <c r="K6" t="s">
        <v>128</v>
      </c>
      <c r="L6">
        <v>2</v>
      </c>
      <c r="M6" t="s">
        <v>141</v>
      </c>
      <c r="N6">
        <v>2</v>
      </c>
      <c r="O6">
        <v>2</v>
      </c>
      <c r="P6"/>
      <c r="Q6">
        <v>2</v>
      </c>
      <c r="R6"/>
      <c r="S6" s="72">
        <v>45769</v>
      </c>
      <c r="T6" s="72">
        <v>45769</v>
      </c>
      <c r="U6" s="72">
        <v>45769</v>
      </c>
      <c r="V6" s="72" t="s">
        <v>130</v>
      </c>
      <c r="W6" s="72">
        <v>45769</v>
      </c>
      <c r="X6" s="72" t="s">
        <v>130</v>
      </c>
      <c r="Y6" t="s">
        <v>146</v>
      </c>
      <c r="Z6" t="s">
        <v>147</v>
      </c>
      <c r="AA6" t="s">
        <v>131</v>
      </c>
      <c r="AB6" t="s">
        <v>132</v>
      </c>
      <c r="AC6" t="s">
        <v>131</v>
      </c>
      <c r="AD6" t="s">
        <v>131</v>
      </c>
      <c r="AE6" t="s">
        <v>131</v>
      </c>
      <c r="AF6" t="s">
        <v>131</v>
      </c>
      <c r="AG6" t="s">
        <v>131</v>
      </c>
      <c r="AH6" t="s">
        <v>131</v>
      </c>
      <c r="AI6" t="s">
        <v>131</v>
      </c>
      <c r="AJ6">
        <v>0</v>
      </c>
      <c r="AK6" t="s">
        <v>131</v>
      </c>
      <c r="AL6" t="s">
        <v>148</v>
      </c>
      <c r="AM6" s="16">
        <f>IF(OR(AC6="Yes",K6="Info Request", K6="Side-Project"),0,(NETWORKDAYS(T6,U6,Holidays!A$2:A$13))-1)</f>
        <v>0</v>
      </c>
      <c r="AN6" s="16">
        <f>IF(OR(AC6="Yes",K6="Info Request", K6="Side-Project"),0,(NETWORKDAYS(U6,W6,Holidays!A$2:A$13))-1)</f>
        <v>0</v>
      </c>
      <c r="AO6" s="16">
        <f>IF(OR(V6="none"),0,((NETWORKDAYS(S6,V6,Holidays!A$2:A$13))-1))</f>
        <v>0</v>
      </c>
      <c r="AP6" s="16" t="b">
        <f t="shared" si="3"/>
        <v>1</v>
      </c>
      <c r="AQ6" s="16" t="b">
        <f t="shared" si="4"/>
        <v>1</v>
      </c>
      <c r="AR6" s="60" t="str">
        <f t="shared" si="5"/>
        <v>OK</v>
      </c>
      <c r="AS6" s="60" t="str">
        <f>IF(table_data[[#This Row],[Flagged-Issues]] = 0, "", table_data[[#This Row],[Flagged-Issues]])</f>
        <v/>
      </c>
    </row>
    <row r="7" spans="1:45" x14ac:dyDescent="0.25">
      <c r="A7" t="s">
        <v>29</v>
      </c>
      <c r="B7" t="s">
        <v>121</v>
      </c>
      <c r="C7" t="s">
        <v>122</v>
      </c>
      <c r="D7" s="65">
        <v>202504091502</v>
      </c>
      <c r="E7" t="s">
        <v>149</v>
      </c>
      <c r="F7" t="s">
        <v>124</v>
      </c>
      <c r="G7"/>
      <c r="H7" t="s">
        <v>150</v>
      </c>
      <c r="I7" t="s">
        <v>126</v>
      </c>
      <c r="J7" t="s">
        <v>151</v>
      </c>
      <c r="K7" t="s">
        <v>128</v>
      </c>
      <c r="L7">
        <v>2</v>
      </c>
      <c r="M7" t="s">
        <v>141</v>
      </c>
      <c r="N7">
        <v>2</v>
      </c>
      <c r="O7"/>
      <c r="P7"/>
      <c r="Q7"/>
      <c r="R7"/>
      <c r="S7" s="72">
        <v>45756</v>
      </c>
      <c r="T7" s="72">
        <v>45756</v>
      </c>
      <c r="U7" s="72">
        <v>45756</v>
      </c>
      <c r="V7" s="72" t="s">
        <v>130</v>
      </c>
      <c r="W7" s="72">
        <v>45756</v>
      </c>
      <c r="X7" s="72" t="s">
        <v>130</v>
      </c>
      <c r="Y7" t="s">
        <v>146</v>
      </c>
      <c r="Z7" t="s">
        <v>147</v>
      </c>
      <c r="AA7" t="s">
        <v>131</v>
      </c>
      <c r="AB7" t="s">
        <v>131</v>
      </c>
      <c r="AC7" t="s">
        <v>131</v>
      </c>
      <c r="AD7" t="s">
        <v>131</v>
      </c>
      <c r="AE7" t="s">
        <v>131</v>
      </c>
      <c r="AF7" t="s">
        <v>131</v>
      </c>
      <c r="AG7" t="s">
        <v>131</v>
      </c>
      <c r="AH7" t="s">
        <v>131</v>
      </c>
      <c r="AI7" t="s">
        <v>131</v>
      </c>
      <c r="AJ7">
        <v>0</v>
      </c>
      <c r="AK7" t="s">
        <v>131</v>
      </c>
      <c r="AL7" t="s">
        <v>148</v>
      </c>
      <c r="AM7" s="16">
        <f>IF(OR(AC7="Yes",K7="Info Request", K7="Side-Project"),0,(NETWORKDAYS(T7,U7,Holidays!A$2:A$13))-1)</f>
        <v>0</v>
      </c>
      <c r="AN7" s="16">
        <f>IF(OR(AC7="Yes",K7="Info Request", K7="Side-Project"),0,(NETWORKDAYS(U7,W7,Holidays!A$2:A$13))-1)</f>
        <v>0</v>
      </c>
      <c r="AO7" s="16">
        <f>IF(OR(V7="none"),0,((NETWORKDAYS(S7,V7,Holidays!A$2:A$13))-1))</f>
        <v>0</v>
      </c>
      <c r="AP7" s="16" t="b">
        <f t="shared" si="3"/>
        <v>1</v>
      </c>
      <c r="AQ7" s="16" t="b">
        <f t="shared" si="4"/>
        <v>1</v>
      </c>
      <c r="AR7" s="60" t="str">
        <f t="shared" si="5"/>
        <v>OK</v>
      </c>
      <c r="AS7" s="60" t="str">
        <f>IF(table_data[[#This Row],[Flagged-Issues]] = 0, "", table_data[[#This Row],[Flagged-Issues]])</f>
        <v/>
      </c>
    </row>
    <row r="8" spans="1:45" x14ac:dyDescent="0.25">
      <c r="A8" t="s">
        <v>29</v>
      </c>
      <c r="B8" t="s">
        <v>121</v>
      </c>
      <c r="C8" t="s">
        <v>122</v>
      </c>
      <c r="D8" s="65">
        <v>202504111507</v>
      </c>
      <c r="E8" t="s">
        <v>149</v>
      </c>
      <c r="F8" t="s">
        <v>124</v>
      </c>
      <c r="G8"/>
      <c r="H8" t="s">
        <v>152</v>
      </c>
      <c r="I8" t="s">
        <v>126</v>
      </c>
      <c r="J8" t="s">
        <v>127</v>
      </c>
      <c r="K8" t="s">
        <v>128</v>
      </c>
      <c r="L8">
        <v>2</v>
      </c>
      <c r="M8" t="s">
        <v>143</v>
      </c>
      <c r="N8">
        <v>2</v>
      </c>
      <c r="O8"/>
      <c r="P8"/>
      <c r="Q8"/>
      <c r="R8"/>
      <c r="S8" s="72">
        <v>45758</v>
      </c>
      <c r="T8" s="72">
        <v>45758</v>
      </c>
      <c r="U8" s="72">
        <v>45758</v>
      </c>
      <c r="V8" s="72" t="s">
        <v>130</v>
      </c>
      <c r="W8" s="72">
        <v>45758</v>
      </c>
      <c r="X8" s="72" t="s">
        <v>130</v>
      </c>
      <c r="Y8" t="s">
        <v>146</v>
      </c>
      <c r="Z8" t="s">
        <v>147</v>
      </c>
      <c r="AA8" t="s">
        <v>131</v>
      </c>
      <c r="AB8" t="s">
        <v>132</v>
      </c>
      <c r="AC8" t="s">
        <v>131</v>
      </c>
      <c r="AD8" t="s">
        <v>131</v>
      </c>
      <c r="AE8" t="s">
        <v>131</v>
      </c>
      <c r="AF8" t="s">
        <v>131</v>
      </c>
      <c r="AG8" t="s">
        <v>131</v>
      </c>
      <c r="AH8" t="s">
        <v>131</v>
      </c>
      <c r="AI8" t="s">
        <v>131</v>
      </c>
      <c r="AJ8">
        <v>0</v>
      </c>
      <c r="AK8" t="s">
        <v>131</v>
      </c>
      <c r="AL8" t="s">
        <v>148</v>
      </c>
      <c r="AM8" s="16">
        <f>IF(OR(AC8="Yes",K8="Info Request", K8="Side-Project"),0,(NETWORKDAYS(T8,U8,Holidays!A$2:A$13))-1)</f>
        <v>0</v>
      </c>
      <c r="AN8" s="16">
        <f>IF(OR(AC8="Yes",K8="Info Request", K8="Side-Project"),0,(NETWORKDAYS(U8,W8,Holidays!A$2:A$13))-1)</f>
        <v>0</v>
      </c>
      <c r="AO8" s="16">
        <f>IF(OR(V8="none"),0,((NETWORKDAYS(S8,V8,Holidays!A$2:A$13))-1))</f>
        <v>0</v>
      </c>
      <c r="AP8" s="16" t="b">
        <f t="shared" si="3"/>
        <v>1</v>
      </c>
      <c r="AQ8" s="16" t="b">
        <f t="shared" si="4"/>
        <v>1</v>
      </c>
      <c r="AR8" s="60" t="str">
        <f t="shared" si="5"/>
        <v>OK</v>
      </c>
      <c r="AS8" s="60" t="str">
        <f>IF(table_data[[#This Row],[Flagged-Issues]] = 0, "", table_data[[#This Row],[Flagged-Issues]])</f>
        <v/>
      </c>
    </row>
    <row r="9" spans="1:45" x14ac:dyDescent="0.25">
      <c r="A9" t="s">
        <v>29</v>
      </c>
      <c r="B9" t="s">
        <v>121</v>
      </c>
      <c r="C9" t="s">
        <v>122</v>
      </c>
      <c r="D9" s="65">
        <v>202504101434</v>
      </c>
      <c r="E9" t="s">
        <v>149</v>
      </c>
      <c r="F9" t="s">
        <v>124</v>
      </c>
      <c r="G9"/>
      <c r="H9" t="s">
        <v>152</v>
      </c>
      <c r="I9" t="s">
        <v>126</v>
      </c>
      <c r="J9" t="s">
        <v>127</v>
      </c>
      <c r="K9" t="s">
        <v>128</v>
      </c>
      <c r="L9">
        <v>2</v>
      </c>
      <c r="M9" t="s">
        <v>141</v>
      </c>
      <c r="N9">
        <v>2</v>
      </c>
      <c r="O9"/>
      <c r="P9"/>
      <c r="Q9"/>
      <c r="R9"/>
      <c r="S9" s="72">
        <v>45757</v>
      </c>
      <c r="T9" s="72">
        <v>45757</v>
      </c>
      <c r="U9" s="72">
        <v>45757</v>
      </c>
      <c r="V9" s="72" t="s">
        <v>130</v>
      </c>
      <c r="W9" s="72">
        <v>45757</v>
      </c>
      <c r="X9" s="72" t="s">
        <v>130</v>
      </c>
      <c r="Y9" t="s">
        <v>153</v>
      </c>
      <c r="Z9" t="s">
        <v>147</v>
      </c>
      <c r="AA9" t="s">
        <v>131</v>
      </c>
      <c r="AB9" t="s">
        <v>131</v>
      </c>
      <c r="AC9" t="s">
        <v>131</v>
      </c>
      <c r="AD9" t="s">
        <v>131</v>
      </c>
      <c r="AE9" t="s">
        <v>131</v>
      </c>
      <c r="AF9" t="s">
        <v>131</v>
      </c>
      <c r="AG9" t="s">
        <v>131</v>
      </c>
      <c r="AH9" t="s">
        <v>131</v>
      </c>
      <c r="AI9" t="s">
        <v>131</v>
      </c>
      <c r="AJ9">
        <v>0</v>
      </c>
      <c r="AK9" t="s">
        <v>132</v>
      </c>
      <c r="AL9" t="s">
        <v>148</v>
      </c>
      <c r="AM9" s="16">
        <f>IF(OR(AC9="Yes",K9="Info Request", K9="Side-Project"),0,(NETWORKDAYS(T9,U9,Holidays!A$2:A$13))-1)</f>
        <v>0</v>
      </c>
      <c r="AN9" s="16">
        <f>IF(OR(AC9="Yes",K9="Info Request", K9="Side-Project"),0,(NETWORKDAYS(U9,W9,Holidays!A$2:A$13))-1)</f>
        <v>0</v>
      </c>
      <c r="AO9" s="16">
        <f>IF(OR(V9="none"),0,((NETWORKDAYS(S9,V9,Holidays!A$2:A$13))-1))</f>
        <v>0</v>
      </c>
      <c r="AP9" s="16" t="b">
        <f t="shared" si="3"/>
        <v>1</v>
      </c>
      <c r="AQ9" s="16" t="b">
        <f t="shared" si="4"/>
        <v>1</v>
      </c>
      <c r="AR9" s="60" t="str">
        <f t="shared" si="5"/>
        <v>OK</v>
      </c>
      <c r="AS9" s="60" t="str">
        <f>IF(table_data[[#This Row],[Flagged-Issues]] = 0, "", table_data[[#This Row],[Flagged-Issues]])</f>
        <v/>
      </c>
    </row>
    <row r="10" spans="1:45" x14ac:dyDescent="0.25">
      <c r="A10" t="s">
        <v>29</v>
      </c>
      <c r="B10" t="s">
        <v>154</v>
      </c>
      <c r="C10" t="s">
        <v>122</v>
      </c>
      <c r="D10" s="65">
        <v>202504151511</v>
      </c>
      <c r="E10" t="s">
        <v>149</v>
      </c>
      <c r="F10" t="s">
        <v>124</v>
      </c>
      <c r="G10"/>
      <c r="H10" t="s">
        <v>155</v>
      </c>
      <c r="I10" t="s">
        <v>126</v>
      </c>
      <c r="J10" t="s">
        <v>145</v>
      </c>
      <c r="K10" t="s">
        <v>128</v>
      </c>
      <c r="L10">
        <v>2</v>
      </c>
      <c r="M10" t="s">
        <v>129</v>
      </c>
      <c r="N10">
        <v>2</v>
      </c>
      <c r="O10"/>
      <c r="P10"/>
      <c r="Q10"/>
      <c r="R10"/>
      <c r="S10" s="72">
        <v>45762</v>
      </c>
      <c r="T10" s="72">
        <v>45762</v>
      </c>
      <c r="U10" s="72">
        <v>45762</v>
      </c>
      <c r="V10" s="72" t="s">
        <v>130</v>
      </c>
      <c r="W10" s="72">
        <v>45762</v>
      </c>
      <c r="X10" s="72" t="s">
        <v>130</v>
      </c>
      <c r="Y10"/>
      <c r="Z10"/>
      <c r="AA10" t="s">
        <v>131</v>
      </c>
      <c r="AB10" t="s">
        <v>131</v>
      </c>
      <c r="AC10" t="s">
        <v>131</v>
      </c>
      <c r="AD10" t="s">
        <v>131</v>
      </c>
      <c r="AE10" t="s">
        <v>131</v>
      </c>
      <c r="AF10" t="s">
        <v>131</v>
      </c>
      <c r="AG10" t="s">
        <v>131</v>
      </c>
      <c r="AH10" t="s">
        <v>131</v>
      </c>
      <c r="AI10" t="s">
        <v>131</v>
      </c>
      <c r="AJ10">
        <v>0</v>
      </c>
      <c r="AK10" t="s">
        <v>131</v>
      </c>
      <c r="AL10" t="s">
        <v>132</v>
      </c>
      <c r="AM10" s="16">
        <f>IF(OR(AC10="Yes",K10="Info Request", K10="Side-Project"),0,(NETWORKDAYS(T10,U10,Holidays!A$2:A$13))-1)</f>
        <v>0</v>
      </c>
      <c r="AN10" s="16">
        <f>IF(OR(AC10="Yes",K10="Info Request", K10="Side-Project"),0,(NETWORKDAYS(U10,W10,Holidays!A$2:A$13))-1)</f>
        <v>0</v>
      </c>
      <c r="AO10" s="16">
        <f>IF(OR(V10="none"),0,((NETWORKDAYS(S10,V10,Holidays!A$2:A$13))-1))</f>
        <v>0</v>
      </c>
      <c r="AP10" s="16" t="b">
        <f t="shared" si="3"/>
        <v>1</v>
      </c>
      <c r="AQ10" s="16" t="b">
        <f t="shared" si="4"/>
        <v>1</v>
      </c>
      <c r="AR10" s="60" t="str">
        <f t="shared" si="5"/>
        <v>OK</v>
      </c>
      <c r="AS10" s="60" t="str">
        <f>IF(table_data[[#This Row],[Flagged-Issues]] = 0, "", table_data[[#This Row],[Flagged-Issues]])</f>
        <v/>
      </c>
    </row>
    <row r="11" spans="1:45" x14ac:dyDescent="0.25">
      <c r="A11" t="s">
        <v>29</v>
      </c>
      <c r="B11" t="s">
        <v>121</v>
      </c>
      <c r="C11" t="s">
        <v>122</v>
      </c>
      <c r="D11" s="65">
        <v>202504161509</v>
      </c>
      <c r="E11" t="s">
        <v>149</v>
      </c>
      <c r="F11" t="s">
        <v>124</v>
      </c>
      <c r="G11"/>
      <c r="H11" t="s">
        <v>156</v>
      </c>
      <c r="I11" t="s">
        <v>126</v>
      </c>
      <c r="J11" t="s">
        <v>157</v>
      </c>
      <c r="K11" t="s">
        <v>128</v>
      </c>
      <c r="L11">
        <v>2</v>
      </c>
      <c r="M11" t="s">
        <v>158</v>
      </c>
      <c r="N11">
        <v>2</v>
      </c>
      <c r="O11"/>
      <c r="P11"/>
      <c r="Q11"/>
      <c r="R11"/>
      <c r="S11" s="72">
        <v>45763</v>
      </c>
      <c r="T11" s="72">
        <v>45763</v>
      </c>
      <c r="U11" s="72">
        <v>45763</v>
      </c>
      <c r="V11" s="72" t="s">
        <v>130</v>
      </c>
      <c r="W11" s="72">
        <v>45763</v>
      </c>
      <c r="X11" s="72" t="s">
        <v>130</v>
      </c>
      <c r="Y11" t="s">
        <v>153</v>
      </c>
      <c r="Z11" t="s">
        <v>147</v>
      </c>
      <c r="AA11" t="s">
        <v>131</v>
      </c>
      <c r="AB11" t="s">
        <v>131</v>
      </c>
      <c r="AC11" t="s">
        <v>131</v>
      </c>
      <c r="AD11" t="s">
        <v>131</v>
      </c>
      <c r="AE11" t="s">
        <v>131</v>
      </c>
      <c r="AF11" t="s">
        <v>131</v>
      </c>
      <c r="AG11" t="s">
        <v>131</v>
      </c>
      <c r="AH11" t="s">
        <v>131</v>
      </c>
      <c r="AI11" t="s">
        <v>131</v>
      </c>
      <c r="AJ11">
        <v>0</v>
      </c>
      <c r="AK11" t="s">
        <v>131</v>
      </c>
      <c r="AL11" t="s">
        <v>148</v>
      </c>
      <c r="AM11" s="16">
        <f>IF(OR(AC11="Yes",K11="Info Request", K11="Side-Project"),0,(NETWORKDAYS(T11,U11,Holidays!A$2:A$13))-1)</f>
        <v>0</v>
      </c>
      <c r="AN11" s="16">
        <f>IF(OR(AC11="Yes",K11="Info Request", K11="Side-Project"),0,(NETWORKDAYS(U11,W11,Holidays!A$2:A$13))-1)</f>
        <v>0</v>
      </c>
      <c r="AO11" s="16">
        <f>IF(OR(V11="none"),0,((NETWORKDAYS(S11,V11,Holidays!A$2:A$13))-1))</f>
        <v>0</v>
      </c>
      <c r="AP11" s="16" t="b">
        <f t="shared" si="3"/>
        <v>1</v>
      </c>
      <c r="AQ11" s="16" t="b">
        <f t="shared" si="4"/>
        <v>1</v>
      </c>
      <c r="AR11" s="60" t="str">
        <f t="shared" si="5"/>
        <v>OK</v>
      </c>
      <c r="AS11" s="60" t="str">
        <f>IF(table_data[[#This Row],[Flagged-Issues]] = 0, "", table_data[[#This Row],[Flagged-Issues]])</f>
        <v/>
      </c>
    </row>
    <row r="12" spans="1:45" x14ac:dyDescent="0.25">
      <c r="A12" t="s">
        <v>29</v>
      </c>
      <c r="B12" t="s">
        <v>121</v>
      </c>
      <c r="C12" t="s">
        <v>122</v>
      </c>
      <c r="D12" s="65">
        <v>202504011508</v>
      </c>
      <c r="E12" t="s">
        <v>149</v>
      </c>
      <c r="F12" t="s">
        <v>124</v>
      </c>
      <c r="G12"/>
      <c r="H12" t="s">
        <v>159</v>
      </c>
      <c r="I12" t="s">
        <v>126</v>
      </c>
      <c r="J12" t="s">
        <v>145</v>
      </c>
      <c r="K12" t="s">
        <v>128</v>
      </c>
      <c r="L12">
        <v>2</v>
      </c>
      <c r="M12" t="s">
        <v>160</v>
      </c>
      <c r="N12">
        <v>2</v>
      </c>
      <c r="O12"/>
      <c r="P12"/>
      <c r="Q12"/>
      <c r="R12"/>
      <c r="S12" s="72">
        <v>45748</v>
      </c>
      <c r="T12" s="72">
        <v>45748</v>
      </c>
      <c r="U12" s="72">
        <v>45748</v>
      </c>
      <c r="V12" s="72" t="s">
        <v>130</v>
      </c>
      <c r="W12" s="72">
        <v>45748</v>
      </c>
      <c r="X12" s="72" t="s">
        <v>130</v>
      </c>
      <c r="Y12" t="s">
        <v>146</v>
      </c>
      <c r="Z12" t="s">
        <v>147</v>
      </c>
      <c r="AA12" t="s">
        <v>131</v>
      </c>
      <c r="AB12" t="s">
        <v>132</v>
      </c>
      <c r="AC12" t="s">
        <v>131</v>
      </c>
      <c r="AD12" t="s">
        <v>131</v>
      </c>
      <c r="AE12" t="s">
        <v>131</v>
      </c>
      <c r="AF12" t="s">
        <v>131</v>
      </c>
      <c r="AG12" t="s">
        <v>131</v>
      </c>
      <c r="AH12" t="s">
        <v>131</v>
      </c>
      <c r="AI12" t="s">
        <v>131</v>
      </c>
      <c r="AJ12">
        <v>0</v>
      </c>
      <c r="AK12" t="s">
        <v>132</v>
      </c>
      <c r="AL12" t="s">
        <v>148</v>
      </c>
      <c r="AM12" s="16">
        <f>IF(OR(AC12="Yes",K12="Info Request", K12="Side-Project"),0,(NETWORKDAYS(T12,U12,Holidays!A$2:A$13))-1)</f>
        <v>0</v>
      </c>
      <c r="AN12" s="16">
        <f>IF(OR(AC12="Yes",K12="Info Request", K12="Side-Project"),0,(NETWORKDAYS(U12,W12,Holidays!A$2:A$13))-1)</f>
        <v>0</v>
      </c>
      <c r="AO12" s="16">
        <f>IF(OR(V12="none"),0,((NETWORKDAYS(S12,V12,Holidays!A$2:A$13))-1))</f>
        <v>0</v>
      </c>
      <c r="AP12" s="16" t="b">
        <f t="shared" si="3"/>
        <v>1</v>
      </c>
      <c r="AQ12" s="16" t="b">
        <f t="shared" si="4"/>
        <v>1</v>
      </c>
      <c r="AR12" s="60" t="str">
        <f t="shared" si="5"/>
        <v>OK</v>
      </c>
      <c r="AS12" s="60" t="str">
        <f>IF(table_data[[#This Row],[Flagged-Issues]] = 0, "", table_data[[#This Row],[Flagged-Issues]])</f>
        <v/>
      </c>
    </row>
    <row r="13" spans="1:45" x14ac:dyDescent="0.25">
      <c r="A13" t="s">
        <v>29</v>
      </c>
      <c r="B13" t="s">
        <v>121</v>
      </c>
      <c r="C13" t="s">
        <v>122</v>
      </c>
      <c r="D13" s="65">
        <v>202504171517</v>
      </c>
      <c r="E13" t="s">
        <v>149</v>
      </c>
      <c r="F13" t="s">
        <v>124</v>
      </c>
      <c r="G13"/>
      <c r="H13" t="s">
        <v>161</v>
      </c>
      <c r="I13" t="s">
        <v>126</v>
      </c>
      <c r="J13" t="s">
        <v>151</v>
      </c>
      <c r="K13" t="s">
        <v>128</v>
      </c>
      <c r="L13">
        <v>2</v>
      </c>
      <c r="M13" t="s">
        <v>162</v>
      </c>
      <c r="N13">
        <v>2</v>
      </c>
      <c r="O13"/>
      <c r="P13"/>
      <c r="Q13"/>
      <c r="R13"/>
      <c r="S13" s="72">
        <v>45764</v>
      </c>
      <c r="T13" s="72">
        <v>45764</v>
      </c>
      <c r="U13" s="72">
        <v>45764</v>
      </c>
      <c r="V13" s="72" t="s">
        <v>130</v>
      </c>
      <c r="W13" s="72">
        <v>45769</v>
      </c>
      <c r="X13" s="72" t="s">
        <v>130</v>
      </c>
      <c r="Y13" t="s">
        <v>146</v>
      </c>
      <c r="Z13" t="s">
        <v>147</v>
      </c>
      <c r="AA13" t="s">
        <v>131</v>
      </c>
      <c r="AB13" t="s">
        <v>132</v>
      </c>
      <c r="AC13" t="s">
        <v>131</v>
      </c>
      <c r="AD13" t="s">
        <v>131</v>
      </c>
      <c r="AE13" t="s">
        <v>131</v>
      </c>
      <c r="AF13" t="s">
        <v>131</v>
      </c>
      <c r="AG13" t="s">
        <v>131</v>
      </c>
      <c r="AH13" t="s">
        <v>131</v>
      </c>
      <c r="AI13" t="s">
        <v>131</v>
      </c>
      <c r="AJ13">
        <v>0</v>
      </c>
      <c r="AK13" t="s">
        <v>132</v>
      </c>
      <c r="AL13" t="s">
        <v>148</v>
      </c>
      <c r="AM13" s="16">
        <f>IF(OR(AC13="Yes",K13="Info Request", K13="Side-Project"),0,(NETWORKDAYS(T13,U13,Holidays!A$2:A$13))-1)</f>
        <v>0</v>
      </c>
      <c r="AN13" s="16">
        <f>IF(OR(AC13="Yes",K13="Info Request", K13="Side-Project"),0,(NETWORKDAYS(U13,W13,Holidays!A$2:A$13))-1)</f>
        <v>1</v>
      </c>
      <c r="AO13" s="16">
        <f>IF(OR(V13="none"),0,((NETWORKDAYS(S13,V13,Holidays!A$2:A$13))-1))</f>
        <v>0</v>
      </c>
      <c r="AP13" s="16" t="b">
        <f t="shared" si="3"/>
        <v>1</v>
      </c>
      <c r="AQ13" s="16" t="b">
        <f t="shared" si="4"/>
        <v>1</v>
      </c>
      <c r="AR13" s="60" t="str">
        <f t="shared" si="5"/>
        <v>OK</v>
      </c>
      <c r="AS13" s="60" t="str">
        <f>IF(table_data[[#This Row],[Flagged-Issues]] = 0, "", table_data[[#This Row],[Flagged-Issues]])</f>
        <v/>
      </c>
    </row>
    <row r="14" spans="1:45" x14ac:dyDescent="0.25">
      <c r="A14" t="s">
        <v>29</v>
      </c>
      <c r="B14" t="s">
        <v>121</v>
      </c>
      <c r="C14" t="s">
        <v>122</v>
      </c>
      <c r="D14" s="65">
        <v>202504221538</v>
      </c>
      <c r="E14" t="s">
        <v>149</v>
      </c>
      <c r="F14" t="s">
        <v>124</v>
      </c>
      <c r="G14"/>
      <c r="H14" t="s">
        <v>163</v>
      </c>
      <c r="I14" t="s">
        <v>126</v>
      </c>
      <c r="J14" t="s">
        <v>127</v>
      </c>
      <c r="K14" t="s">
        <v>128</v>
      </c>
      <c r="L14">
        <v>2</v>
      </c>
      <c r="M14" t="s">
        <v>143</v>
      </c>
      <c r="N14">
        <v>2</v>
      </c>
      <c r="O14"/>
      <c r="P14"/>
      <c r="Q14"/>
      <c r="R14"/>
      <c r="S14" s="72">
        <v>45769</v>
      </c>
      <c r="T14" s="72">
        <v>45769</v>
      </c>
      <c r="U14" s="72">
        <v>45769</v>
      </c>
      <c r="V14" s="72" t="s">
        <v>130</v>
      </c>
      <c r="W14" s="72">
        <v>45769</v>
      </c>
      <c r="X14" s="72" t="s">
        <v>130</v>
      </c>
      <c r="Y14" t="s">
        <v>164</v>
      </c>
      <c r="Z14" t="s">
        <v>147</v>
      </c>
      <c r="AA14" t="s">
        <v>131</v>
      </c>
      <c r="AB14" t="s">
        <v>132</v>
      </c>
      <c r="AC14" t="s">
        <v>131</v>
      </c>
      <c r="AD14" t="s">
        <v>131</v>
      </c>
      <c r="AE14" t="s">
        <v>131</v>
      </c>
      <c r="AF14" t="s">
        <v>131</v>
      </c>
      <c r="AG14" t="s">
        <v>131</v>
      </c>
      <c r="AH14" t="s">
        <v>131</v>
      </c>
      <c r="AI14" t="s">
        <v>131</v>
      </c>
      <c r="AJ14">
        <v>0</v>
      </c>
      <c r="AK14" t="s">
        <v>131</v>
      </c>
      <c r="AL14" t="s">
        <v>148</v>
      </c>
      <c r="AM14" s="16">
        <f>IF(OR(AC14="Yes",K14="Info Request", K14="Side-Project"),0,(NETWORKDAYS(T14,U14,Holidays!A$2:A$13))-1)</f>
        <v>0</v>
      </c>
      <c r="AN14" s="16">
        <f>IF(OR(AC14="Yes",K14="Info Request", K14="Side-Project"),0,(NETWORKDAYS(U14,W14,Holidays!A$2:A$13))-1)</f>
        <v>0</v>
      </c>
      <c r="AO14" s="16">
        <f>IF(OR(V14="none"),0,((NETWORKDAYS(S14,V14,Holidays!A$2:A$13))-1))</f>
        <v>0</v>
      </c>
      <c r="AP14" s="16" t="b">
        <f t="shared" si="3"/>
        <v>1</v>
      </c>
      <c r="AQ14" s="16" t="b">
        <f t="shared" si="4"/>
        <v>1</v>
      </c>
      <c r="AR14" s="60" t="str">
        <f t="shared" si="5"/>
        <v>OK</v>
      </c>
      <c r="AS14" s="60" t="str">
        <f>IF(table_data[[#This Row],[Flagged-Issues]] = 0, "", table_data[[#This Row],[Flagged-Issues]])</f>
        <v/>
      </c>
    </row>
    <row r="15" spans="1:45" x14ac:dyDescent="0.25">
      <c r="A15" t="s">
        <v>29</v>
      </c>
      <c r="B15" t="s">
        <v>121</v>
      </c>
      <c r="C15" t="s">
        <v>122</v>
      </c>
      <c r="D15" s="65">
        <v>202504231501</v>
      </c>
      <c r="E15" t="s">
        <v>149</v>
      </c>
      <c r="F15" t="s">
        <v>124</v>
      </c>
      <c r="G15"/>
      <c r="H15" t="s">
        <v>165</v>
      </c>
      <c r="I15" t="s">
        <v>126</v>
      </c>
      <c r="J15" t="s">
        <v>127</v>
      </c>
      <c r="K15" t="s">
        <v>128</v>
      </c>
      <c r="L15">
        <v>2</v>
      </c>
      <c r="M15" t="s">
        <v>143</v>
      </c>
      <c r="N15">
        <v>2</v>
      </c>
      <c r="O15"/>
      <c r="P15"/>
      <c r="Q15"/>
      <c r="R15"/>
      <c r="S15" s="72">
        <v>45770</v>
      </c>
      <c r="T15" s="72">
        <v>45770</v>
      </c>
      <c r="U15" s="72">
        <v>45770</v>
      </c>
      <c r="V15" s="72" t="s">
        <v>130</v>
      </c>
      <c r="W15" s="72">
        <v>45770</v>
      </c>
      <c r="X15" s="72" t="s">
        <v>130</v>
      </c>
      <c r="Y15" t="s">
        <v>146</v>
      </c>
      <c r="Z15" t="s">
        <v>147</v>
      </c>
      <c r="AA15" t="s">
        <v>131</v>
      </c>
      <c r="AB15" t="s">
        <v>131</v>
      </c>
      <c r="AC15" t="s">
        <v>131</v>
      </c>
      <c r="AD15" t="s">
        <v>131</v>
      </c>
      <c r="AE15" t="s">
        <v>131</v>
      </c>
      <c r="AF15" t="s">
        <v>131</v>
      </c>
      <c r="AG15" t="s">
        <v>131</v>
      </c>
      <c r="AH15" t="s">
        <v>131</v>
      </c>
      <c r="AI15" t="s">
        <v>131</v>
      </c>
      <c r="AJ15">
        <v>0</v>
      </c>
      <c r="AK15" t="s">
        <v>131</v>
      </c>
      <c r="AL15" t="s">
        <v>148</v>
      </c>
      <c r="AM15" s="16">
        <f>IF(OR(AC15="Yes",K15="Info Request", K15="Side-Project"),0,(NETWORKDAYS(T15,U15,Holidays!A$2:A$13))-1)</f>
        <v>0</v>
      </c>
      <c r="AN15" s="16">
        <f>IF(OR(AC15="Yes",K15="Info Request", K15="Side-Project"),0,(NETWORKDAYS(U15,W15,Holidays!A$2:A$13))-1)</f>
        <v>0</v>
      </c>
      <c r="AO15" s="16">
        <f>IF(OR(V15="none"),0,((NETWORKDAYS(S15,V15,Holidays!A$2:A$13))-1))</f>
        <v>0</v>
      </c>
      <c r="AP15" s="16" t="b">
        <f t="shared" si="3"/>
        <v>1</v>
      </c>
      <c r="AQ15" s="16" t="b">
        <f t="shared" si="4"/>
        <v>1</v>
      </c>
      <c r="AR15" s="60" t="str">
        <f t="shared" si="5"/>
        <v>OK</v>
      </c>
      <c r="AS15" s="60" t="str">
        <f>IF(table_data[[#This Row],[Flagged-Issues]] = 0, "", table_data[[#This Row],[Flagged-Issues]])</f>
        <v/>
      </c>
    </row>
    <row r="16" spans="1:45" x14ac:dyDescent="0.25">
      <c r="A16" t="s">
        <v>29</v>
      </c>
      <c r="B16" t="s">
        <v>121</v>
      </c>
      <c r="C16" t="s">
        <v>122</v>
      </c>
      <c r="D16" s="65">
        <v>202504241512</v>
      </c>
      <c r="E16" t="s">
        <v>149</v>
      </c>
      <c r="F16" t="s">
        <v>124</v>
      </c>
      <c r="G16"/>
      <c r="H16" t="s">
        <v>166</v>
      </c>
      <c r="I16" t="s">
        <v>126</v>
      </c>
      <c r="J16" t="s">
        <v>167</v>
      </c>
      <c r="K16" t="s">
        <v>128</v>
      </c>
      <c r="L16">
        <v>2</v>
      </c>
      <c r="M16" t="s">
        <v>141</v>
      </c>
      <c r="N16">
        <v>2</v>
      </c>
      <c r="O16"/>
      <c r="P16"/>
      <c r="Q16"/>
      <c r="R16"/>
      <c r="S16" s="72">
        <v>45771</v>
      </c>
      <c r="T16" s="72">
        <v>45771</v>
      </c>
      <c r="U16" s="72">
        <v>45772</v>
      </c>
      <c r="V16" s="72" t="s">
        <v>130</v>
      </c>
      <c r="W16" s="72">
        <v>45772</v>
      </c>
      <c r="X16" s="72" t="s">
        <v>130</v>
      </c>
      <c r="Y16" t="s">
        <v>146</v>
      </c>
      <c r="Z16" t="s">
        <v>147</v>
      </c>
      <c r="AA16" t="s">
        <v>131</v>
      </c>
      <c r="AB16" t="s">
        <v>131</v>
      </c>
      <c r="AC16" t="s">
        <v>131</v>
      </c>
      <c r="AD16" t="s">
        <v>131</v>
      </c>
      <c r="AE16" t="s">
        <v>131</v>
      </c>
      <c r="AF16" t="s">
        <v>131</v>
      </c>
      <c r="AG16" t="s">
        <v>131</v>
      </c>
      <c r="AH16" t="s">
        <v>131</v>
      </c>
      <c r="AI16" t="s">
        <v>132</v>
      </c>
      <c r="AJ16">
        <v>0</v>
      </c>
      <c r="AK16" t="s">
        <v>132</v>
      </c>
      <c r="AL16" t="s">
        <v>148</v>
      </c>
      <c r="AM16" s="16">
        <f>IF(OR(AC16="Yes",K16="Info Request", K16="Side-Project"),0,(NETWORKDAYS(T16,U16,Holidays!A$2:A$13))-1)</f>
        <v>1</v>
      </c>
      <c r="AN16" s="16">
        <f>IF(OR(AC16="Yes",K16="Info Request", K16="Side-Project"),0,(NETWORKDAYS(U16,W16,Holidays!A$2:A$13))-1)</f>
        <v>0</v>
      </c>
      <c r="AO16" s="16">
        <f>IF(OR(V16="none"),0,((NETWORKDAYS(S16,V16,Holidays!A$2:A$13))-1))</f>
        <v>0</v>
      </c>
      <c r="AP16" s="16" t="b">
        <f t="shared" si="3"/>
        <v>1</v>
      </c>
      <c r="AQ16" s="16" t="b">
        <f t="shared" si="4"/>
        <v>1</v>
      </c>
      <c r="AR16" s="60" t="str">
        <f t="shared" si="5"/>
        <v>OK</v>
      </c>
      <c r="AS16" s="60" t="str">
        <f>IF(table_data[[#This Row],[Flagged-Issues]] = 0, "", table_data[[#This Row],[Flagged-Issues]])</f>
        <v/>
      </c>
    </row>
    <row r="17" spans="1:45" x14ac:dyDescent="0.25">
      <c r="A17" t="s">
        <v>29</v>
      </c>
      <c r="B17" t="s">
        <v>121</v>
      </c>
      <c r="C17" t="s">
        <v>122</v>
      </c>
      <c r="D17" s="65">
        <v>202504021505</v>
      </c>
      <c r="E17" t="s">
        <v>149</v>
      </c>
      <c r="F17" t="s">
        <v>124</v>
      </c>
      <c r="G17"/>
      <c r="H17" t="s">
        <v>168</v>
      </c>
      <c r="I17" t="s">
        <v>126</v>
      </c>
      <c r="J17" t="s">
        <v>127</v>
      </c>
      <c r="K17" t="s">
        <v>128</v>
      </c>
      <c r="L17">
        <v>2</v>
      </c>
      <c r="M17" t="s">
        <v>162</v>
      </c>
      <c r="N17">
        <v>2</v>
      </c>
      <c r="O17"/>
      <c r="P17"/>
      <c r="Q17"/>
      <c r="R17"/>
      <c r="S17" s="72">
        <v>45749</v>
      </c>
      <c r="T17" s="72">
        <v>45749</v>
      </c>
      <c r="U17" s="72">
        <v>45749</v>
      </c>
      <c r="V17" s="72" t="s">
        <v>130</v>
      </c>
      <c r="W17" s="72">
        <v>45751</v>
      </c>
      <c r="X17" s="72" t="s">
        <v>130</v>
      </c>
      <c r="Y17" t="s">
        <v>153</v>
      </c>
      <c r="Z17" t="s">
        <v>147</v>
      </c>
      <c r="AA17" t="s">
        <v>131</v>
      </c>
      <c r="AB17" t="s">
        <v>131</v>
      </c>
      <c r="AC17" t="s">
        <v>131</v>
      </c>
      <c r="AD17" t="s">
        <v>131</v>
      </c>
      <c r="AE17" t="s">
        <v>131</v>
      </c>
      <c r="AF17" t="s">
        <v>131</v>
      </c>
      <c r="AG17" t="s">
        <v>131</v>
      </c>
      <c r="AH17" t="s">
        <v>132</v>
      </c>
      <c r="AI17" t="s">
        <v>132</v>
      </c>
      <c r="AJ17">
        <v>0</v>
      </c>
      <c r="AK17" t="s">
        <v>131</v>
      </c>
      <c r="AL17" t="s">
        <v>148</v>
      </c>
      <c r="AM17" s="16">
        <f>IF(OR(AC17="Yes",K17="Info Request", K17="Side-Project"),0,(NETWORKDAYS(T17,U17,Holidays!A$2:A$13))-1)</f>
        <v>0</v>
      </c>
      <c r="AN17" s="16">
        <f>IF(OR(AC17="Yes",K17="Info Request", K17="Side-Project"),0,(NETWORKDAYS(U17,W17,Holidays!A$2:A$13))-1)</f>
        <v>2</v>
      </c>
      <c r="AO17" s="16">
        <f>IF(OR(V17="none"),0,((NETWORKDAYS(S17,V17,Holidays!A$2:A$13))-1))</f>
        <v>0</v>
      </c>
      <c r="AP17" s="16" t="b">
        <f t="shared" si="3"/>
        <v>1</v>
      </c>
      <c r="AQ17" s="16" t="b">
        <f t="shared" si="4"/>
        <v>1</v>
      </c>
      <c r="AR17" s="60" t="str">
        <f t="shared" si="5"/>
        <v>OK</v>
      </c>
      <c r="AS17" s="60" t="str">
        <f>IF(table_data[[#This Row],[Flagged-Issues]] = 0, "", table_data[[#This Row],[Flagged-Issues]])</f>
        <v/>
      </c>
    </row>
    <row r="18" spans="1:45" x14ac:dyDescent="0.25">
      <c r="A18" t="s">
        <v>29</v>
      </c>
      <c r="B18" t="s">
        <v>121</v>
      </c>
      <c r="C18" t="s">
        <v>122</v>
      </c>
      <c r="D18" s="65">
        <v>202504041504</v>
      </c>
      <c r="E18" t="s">
        <v>149</v>
      </c>
      <c r="F18" t="s">
        <v>124</v>
      </c>
      <c r="G18"/>
      <c r="H18" t="s">
        <v>169</v>
      </c>
      <c r="I18" t="s">
        <v>126</v>
      </c>
      <c r="J18" t="s">
        <v>145</v>
      </c>
      <c r="K18" t="s">
        <v>128</v>
      </c>
      <c r="L18">
        <v>2</v>
      </c>
      <c r="M18" t="s">
        <v>160</v>
      </c>
      <c r="N18">
        <v>2</v>
      </c>
      <c r="O18"/>
      <c r="P18"/>
      <c r="Q18"/>
      <c r="R18"/>
      <c r="S18" s="72">
        <v>45751</v>
      </c>
      <c r="T18" s="72">
        <v>45754</v>
      </c>
      <c r="U18" s="72">
        <v>45754</v>
      </c>
      <c r="V18" s="72" t="s">
        <v>130</v>
      </c>
      <c r="W18" s="72">
        <v>45754</v>
      </c>
      <c r="X18" s="72" t="s">
        <v>130</v>
      </c>
      <c r="Y18" t="s">
        <v>146</v>
      </c>
      <c r="Z18" t="s">
        <v>147</v>
      </c>
      <c r="AA18" t="s">
        <v>131</v>
      </c>
      <c r="AB18" t="s">
        <v>131</v>
      </c>
      <c r="AC18" t="s">
        <v>131</v>
      </c>
      <c r="AD18" t="s">
        <v>131</v>
      </c>
      <c r="AE18" t="s">
        <v>131</v>
      </c>
      <c r="AF18" t="s">
        <v>131</v>
      </c>
      <c r="AG18" t="s">
        <v>131</v>
      </c>
      <c r="AH18" t="s">
        <v>131</v>
      </c>
      <c r="AI18" t="s">
        <v>131</v>
      </c>
      <c r="AJ18">
        <v>0</v>
      </c>
      <c r="AK18" t="s">
        <v>131</v>
      </c>
      <c r="AL18" t="s">
        <v>148</v>
      </c>
      <c r="AM18" s="16">
        <f>IF(OR(AC18="Yes",K18="Info Request", K18="Side-Project"),0,(NETWORKDAYS(T18,U18,Holidays!A$2:A$13))-1)</f>
        <v>0</v>
      </c>
      <c r="AN18" s="16">
        <f>IF(OR(AC18="Yes",K18="Info Request", K18="Side-Project"),0,(NETWORKDAYS(U18,W18,Holidays!A$2:A$13))-1)</f>
        <v>0</v>
      </c>
      <c r="AO18" s="16">
        <f>IF(OR(V18="none"),0,((NETWORKDAYS(S18,V18,Holidays!A$2:A$13))-1))</f>
        <v>0</v>
      </c>
      <c r="AP18" s="16" t="b">
        <f t="shared" si="3"/>
        <v>1</v>
      </c>
      <c r="AQ18" s="16" t="b">
        <f t="shared" si="4"/>
        <v>1</v>
      </c>
      <c r="AR18" s="60" t="str">
        <f t="shared" si="5"/>
        <v>OK</v>
      </c>
      <c r="AS18" s="60" t="str">
        <f>IF(table_data[[#This Row],[Flagged-Issues]] = 0, "", table_data[[#This Row],[Flagged-Issues]])</f>
        <v/>
      </c>
    </row>
    <row r="19" spans="1:45" x14ac:dyDescent="0.25">
      <c r="A19" t="s">
        <v>29</v>
      </c>
      <c r="B19" t="s">
        <v>121</v>
      </c>
      <c r="C19" t="s">
        <v>122</v>
      </c>
      <c r="D19" s="65">
        <v>202504071505</v>
      </c>
      <c r="E19" t="s">
        <v>149</v>
      </c>
      <c r="F19" t="s">
        <v>124</v>
      </c>
      <c r="G19"/>
      <c r="H19" t="s">
        <v>170</v>
      </c>
      <c r="I19" t="s">
        <v>126</v>
      </c>
      <c r="J19" t="s">
        <v>145</v>
      </c>
      <c r="K19" t="s">
        <v>128</v>
      </c>
      <c r="L19">
        <v>2</v>
      </c>
      <c r="M19" t="s">
        <v>160</v>
      </c>
      <c r="N19">
        <v>2</v>
      </c>
      <c r="O19"/>
      <c r="P19"/>
      <c r="Q19"/>
      <c r="R19"/>
      <c r="S19" s="72">
        <v>45754</v>
      </c>
      <c r="T19" s="72">
        <v>45754</v>
      </c>
      <c r="U19" s="72">
        <v>45754</v>
      </c>
      <c r="V19" s="72" t="s">
        <v>130</v>
      </c>
      <c r="W19" s="72">
        <v>45754</v>
      </c>
      <c r="X19" s="72" t="s">
        <v>130</v>
      </c>
      <c r="Y19"/>
      <c r="Z19"/>
      <c r="AA19" t="s">
        <v>131</v>
      </c>
      <c r="AB19" t="s">
        <v>131</v>
      </c>
      <c r="AC19" t="s">
        <v>131</v>
      </c>
      <c r="AD19" t="s">
        <v>131</v>
      </c>
      <c r="AE19" t="s">
        <v>131</v>
      </c>
      <c r="AF19" t="s">
        <v>131</v>
      </c>
      <c r="AG19" t="s">
        <v>131</v>
      </c>
      <c r="AH19" t="s">
        <v>131</v>
      </c>
      <c r="AI19" t="s">
        <v>131</v>
      </c>
      <c r="AJ19">
        <v>0</v>
      </c>
      <c r="AK19" t="s">
        <v>131</v>
      </c>
      <c r="AL19" t="s">
        <v>132</v>
      </c>
      <c r="AM19" s="16">
        <f>IF(OR(AC19="Yes",K19="Info Request", K19="Side-Project"),0,(NETWORKDAYS(T19,U19,Holidays!A$2:A$13))-1)</f>
        <v>0</v>
      </c>
      <c r="AN19" s="16">
        <f>IF(OR(AC19="Yes",K19="Info Request", K19="Side-Project"),0,(NETWORKDAYS(U19,W19,Holidays!A$2:A$13))-1)</f>
        <v>0</v>
      </c>
      <c r="AO19" s="16">
        <f>IF(OR(V19="none"),0,((NETWORKDAYS(S19,V19,Holidays!A$2:A$13))-1))</f>
        <v>0</v>
      </c>
      <c r="AP19" s="16" t="b">
        <f t="shared" si="3"/>
        <v>1</v>
      </c>
      <c r="AQ19" s="16" t="b">
        <f t="shared" si="4"/>
        <v>1</v>
      </c>
      <c r="AR19" s="60" t="str">
        <f t="shared" si="5"/>
        <v>OK</v>
      </c>
      <c r="AS19" s="60" t="str">
        <f>IF(table_data[[#This Row],[Flagged-Issues]] = 0, "", table_data[[#This Row],[Flagged-Issues]])</f>
        <v/>
      </c>
    </row>
    <row r="20" spans="1:45" x14ac:dyDescent="0.25">
      <c r="A20" t="s">
        <v>29</v>
      </c>
      <c r="B20" t="s">
        <v>121</v>
      </c>
      <c r="C20" t="s">
        <v>122</v>
      </c>
      <c r="D20" s="65">
        <v>202504081508</v>
      </c>
      <c r="E20" t="s">
        <v>149</v>
      </c>
      <c r="F20" t="s">
        <v>124</v>
      </c>
      <c r="G20"/>
      <c r="H20" t="s">
        <v>171</v>
      </c>
      <c r="I20" t="s">
        <v>126</v>
      </c>
      <c r="J20" t="s">
        <v>136</v>
      </c>
      <c r="K20" t="s">
        <v>128</v>
      </c>
      <c r="L20">
        <v>2</v>
      </c>
      <c r="M20" t="s">
        <v>129</v>
      </c>
      <c r="N20">
        <v>2</v>
      </c>
      <c r="O20"/>
      <c r="P20"/>
      <c r="Q20"/>
      <c r="R20"/>
      <c r="S20" s="72">
        <v>45755</v>
      </c>
      <c r="T20" s="72">
        <v>45756</v>
      </c>
      <c r="U20" s="72">
        <v>45756</v>
      </c>
      <c r="V20" s="72" t="s">
        <v>130</v>
      </c>
      <c r="W20" s="72">
        <v>45756</v>
      </c>
      <c r="X20" s="72" t="s">
        <v>130</v>
      </c>
      <c r="Y20"/>
      <c r="Z20"/>
      <c r="AA20" t="s">
        <v>131</v>
      </c>
      <c r="AB20" t="s">
        <v>131</v>
      </c>
      <c r="AC20" t="s">
        <v>131</v>
      </c>
      <c r="AD20" t="s">
        <v>131</v>
      </c>
      <c r="AE20" t="s">
        <v>131</v>
      </c>
      <c r="AF20" t="s">
        <v>131</v>
      </c>
      <c r="AG20" t="s">
        <v>131</v>
      </c>
      <c r="AH20" t="s">
        <v>131</v>
      </c>
      <c r="AI20" t="s">
        <v>131</v>
      </c>
      <c r="AJ20">
        <v>0</v>
      </c>
      <c r="AK20" t="s">
        <v>131</v>
      </c>
      <c r="AL20" t="s">
        <v>132</v>
      </c>
      <c r="AM20" s="16">
        <f>IF(OR(AC20="Yes",K20="Info Request", K20="Side-Project"),0,(NETWORKDAYS(T20,U20,Holidays!A$2:A$13))-1)</f>
        <v>0</v>
      </c>
      <c r="AN20" s="16">
        <f>IF(OR(AC20="Yes",K20="Info Request", K20="Side-Project"),0,(NETWORKDAYS(U20,W20,Holidays!A$2:A$13))-1)</f>
        <v>0</v>
      </c>
      <c r="AO20" s="16">
        <f>IF(OR(V20="none"),0,((NETWORKDAYS(S20,V20,Holidays!A$2:A$13))-1))</f>
        <v>0</v>
      </c>
      <c r="AP20" s="16" t="b">
        <f t="shared" si="3"/>
        <v>1</v>
      </c>
      <c r="AQ20" s="16" t="b">
        <f t="shared" si="4"/>
        <v>1</v>
      </c>
      <c r="AR20" s="60" t="str">
        <f t="shared" si="5"/>
        <v>OK</v>
      </c>
      <c r="AS20" s="60" t="str">
        <f>IF(table_data[[#This Row],[Flagged-Issues]] = 0, "", table_data[[#This Row],[Flagged-Issues]])</f>
        <v/>
      </c>
    </row>
    <row r="21" spans="1:45" x14ac:dyDescent="0.25">
      <c r="A21" t="s">
        <v>29</v>
      </c>
      <c r="B21" t="s">
        <v>154</v>
      </c>
      <c r="C21" t="s">
        <v>122</v>
      </c>
      <c r="D21" s="65">
        <v>202504091054</v>
      </c>
      <c r="E21" t="s">
        <v>172</v>
      </c>
      <c r="F21" t="s">
        <v>173</v>
      </c>
      <c r="G21"/>
      <c r="H21" t="s">
        <v>174</v>
      </c>
      <c r="I21" t="s">
        <v>126</v>
      </c>
      <c r="J21" t="s">
        <v>157</v>
      </c>
      <c r="K21" t="s">
        <v>128</v>
      </c>
      <c r="L21">
        <v>2</v>
      </c>
      <c r="M21" t="s">
        <v>175</v>
      </c>
      <c r="N21">
        <v>4</v>
      </c>
      <c r="O21">
        <v>2</v>
      </c>
      <c r="P21"/>
      <c r="Q21"/>
      <c r="R21"/>
      <c r="S21" s="72">
        <v>45756</v>
      </c>
      <c r="T21" s="72">
        <v>45756</v>
      </c>
      <c r="U21" s="72">
        <v>45756</v>
      </c>
      <c r="V21" s="72" t="s">
        <v>130</v>
      </c>
      <c r="W21" s="72">
        <v>45776</v>
      </c>
      <c r="X21" s="72" t="s">
        <v>130</v>
      </c>
      <c r="Y21" t="s">
        <v>146</v>
      </c>
      <c r="Z21" t="s">
        <v>147</v>
      </c>
      <c r="AA21" t="s">
        <v>131</v>
      </c>
      <c r="AB21" t="s">
        <v>131</v>
      </c>
      <c r="AC21" t="s">
        <v>131</v>
      </c>
      <c r="AD21" t="s">
        <v>131</v>
      </c>
      <c r="AE21" t="s">
        <v>131</v>
      </c>
      <c r="AF21" t="s">
        <v>132</v>
      </c>
      <c r="AG21" t="s">
        <v>131</v>
      </c>
      <c r="AH21" t="s">
        <v>131</v>
      </c>
      <c r="AI21" t="s">
        <v>131</v>
      </c>
      <c r="AJ21">
        <v>0</v>
      </c>
      <c r="AK21" t="s">
        <v>131</v>
      </c>
      <c r="AL21" t="s">
        <v>148</v>
      </c>
      <c r="AM21" s="16">
        <f>IF(OR(AC21="Yes",K21="Info Request", K21="Side-Project"),0,(NETWORKDAYS(T21,U21,Holidays!A$2:A$13))-1)</f>
        <v>0</v>
      </c>
      <c r="AN21" s="16">
        <f>IF(OR(AC21="Yes",K21="Info Request", K21="Side-Project"),0,(NETWORKDAYS(U21,W21,Holidays!A$2:A$13))-1)</f>
        <v>12</v>
      </c>
      <c r="AO21" s="16">
        <f>IF(OR(V21="none"),0,((NETWORKDAYS(S21,V21,Holidays!A$2:A$13))-1))</f>
        <v>0</v>
      </c>
      <c r="AP21" s="16" t="b">
        <f t="shared" si="3"/>
        <v>1</v>
      </c>
      <c r="AQ21" s="16" t="b">
        <f t="shared" si="4"/>
        <v>1</v>
      </c>
      <c r="AR21" s="60" t="str">
        <f t="shared" si="5"/>
        <v>OK</v>
      </c>
      <c r="AS21" s="60" t="str">
        <f>IF(table_data[[#This Row],[Flagged-Issues]] = 0, "", table_data[[#This Row],[Flagged-Issues]])</f>
        <v/>
      </c>
    </row>
    <row r="22" spans="1:45" x14ac:dyDescent="0.25">
      <c r="A22" t="s">
        <v>29</v>
      </c>
      <c r="B22" t="s">
        <v>154</v>
      </c>
      <c r="C22" t="s">
        <v>122</v>
      </c>
      <c r="D22" s="65">
        <v>202504231106</v>
      </c>
      <c r="E22" t="s">
        <v>172</v>
      </c>
      <c r="F22" t="s">
        <v>173</v>
      </c>
      <c r="G22"/>
      <c r="H22" t="s">
        <v>176</v>
      </c>
      <c r="I22" t="s">
        <v>126</v>
      </c>
      <c r="J22" t="s">
        <v>151</v>
      </c>
      <c r="K22" t="s">
        <v>128</v>
      </c>
      <c r="L22">
        <v>2</v>
      </c>
      <c r="M22" t="s">
        <v>177</v>
      </c>
      <c r="N22">
        <v>2</v>
      </c>
      <c r="O22"/>
      <c r="P22">
        <v>2</v>
      </c>
      <c r="Q22">
        <v>1</v>
      </c>
      <c r="R22"/>
      <c r="S22" s="72">
        <v>45770</v>
      </c>
      <c r="T22" s="72">
        <v>45772</v>
      </c>
      <c r="U22" s="72">
        <v>45776</v>
      </c>
      <c r="V22" s="72" t="s">
        <v>130</v>
      </c>
      <c r="W22" s="72">
        <v>45777</v>
      </c>
      <c r="X22" s="72" t="s">
        <v>130</v>
      </c>
      <c r="Y22" t="s">
        <v>146</v>
      </c>
      <c r="Z22" t="s">
        <v>147</v>
      </c>
      <c r="AA22" t="s">
        <v>131</v>
      </c>
      <c r="AB22" t="s">
        <v>131</v>
      </c>
      <c r="AC22" t="s">
        <v>131</v>
      </c>
      <c r="AD22" t="s">
        <v>132</v>
      </c>
      <c r="AE22" t="s">
        <v>131</v>
      </c>
      <c r="AF22" t="s">
        <v>131</v>
      </c>
      <c r="AG22" t="s">
        <v>131</v>
      </c>
      <c r="AH22" t="s">
        <v>131</v>
      </c>
      <c r="AI22" t="s">
        <v>132</v>
      </c>
      <c r="AJ22">
        <v>0</v>
      </c>
      <c r="AK22" t="s">
        <v>131</v>
      </c>
      <c r="AL22" t="s">
        <v>131</v>
      </c>
      <c r="AM22" s="16">
        <f>IF(OR(AC22="Yes",K22="Info Request", K22="Side-Project"),0,(NETWORKDAYS(T22,U22,Holidays!A$2:A$13))-1)</f>
        <v>2</v>
      </c>
      <c r="AN22" s="16">
        <f>IF(OR(AC22="Yes",K22="Info Request", K22="Side-Project"),0,(NETWORKDAYS(U22,W22,Holidays!A$2:A$13))-1)</f>
        <v>1</v>
      </c>
      <c r="AO22" s="16">
        <f>IF(OR(V22="none"),0,((NETWORKDAYS(S22,V22,Holidays!A$2:A$13))-1))</f>
        <v>0</v>
      </c>
      <c r="AP22" s="16" t="b">
        <f t="shared" si="3"/>
        <v>1</v>
      </c>
      <c r="AQ22" s="16" t="b">
        <f t="shared" si="4"/>
        <v>1</v>
      </c>
      <c r="AR22" s="60" t="str">
        <f t="shared" si="5"/>
        <v>OK</v>
      </c>
      <c r="AS22" s="60" t="str">
        <f>IF(table_data[[#This Row],[Flagged-Issues]] = 0, "", table_data[[#This Row],[Flagged-Issues]])</f>
        <v/>
      </c>
    </row>
    <row r="23" spans="1:45" x14ac:dyDescent="0.25">
      <c r="A23" t="s">
        <v>29</v>
      </c>
      <c r="B23" t="s">
        <v>154</v>
      </c>
      <c r="C23" t="s">
        <v>122</v>
      </c>
      <c r="D23" s="65">
        <v>202504161408</v>
      </c>
      <c r="E23" t="s">
        <v>172</v>
      </c>
      <c r="F23" t="s">
        <v>173</v>
      </c>
      <c r="G23"/>
      <c r="H23" t="s">
        <v>178</v>
      </c>
      <c r="I23" t="s">
        <v>126</v>
      </c>
      <c r="J23" t="s">
        <v>136</v>
      </c>
      <c r="K23" t="s">
        <v>179</v>
      </c>
      <c r="L23">
        <v>2</v>
      </c>
      <c r="M23" t="s">
        <v>158</v>
      </c>
      <c r="N23"/>
      <c r="O23"/>
      <c r="P23"/>
      <c r="Q23"/>
      <c r="R23"/>
      <c r="S23" s="72">
        <v>45763</v>
      </c>
      <c r="T23" s="72">
        <v>45763</v>
      </c>
      <c r="U23" s="72">
        <v>45763</v>
      </c>
      <c r="V23" s="72" t="s">
        <v>130</v>
      </c>
      <c r="W23" s="72">
        <v>45763</v>
      </c>
      <c r="X23" s="72" t="s">
        <v>130</v>
      </c>
      <c r="Y23"/>
      <c r="Z23"/>
      <c r="AA23" t="s">
        <v>131</v>
      </c>
      <c r="AB23" t="s">
        <v>131</v>
      </c>
      <c r="AC23" t="s">
        <v>131</v>
      </c>
      <c r="AD23" t="s">
        <v>131</v>
      </c>
      <c r="AE23" t="s">
        <v>131</v>
      </c>
      <c r="AF23" t="s">
        <v>131</v>
      </c>
      <c r="AG23" t="s">
        <v>131</v>
      </c>
      <c r="AH23" t="s">
        <v>131</v>
      </c>
      <c r="AI23" t="s">
        <v>131</v>
      </c>
      <c r="AJ23">
        <v>0</v>
      </c>
      <c r="AK23" t="s">
        <v>131</v>
      </c>
      <c r="AL23" t="s">
        <v>132</v>
      </c>
      <c r="AM23" s="16">
        <f>IF(OR(AC23="Yes",K23="Info Request", K23="Side-Project"),0,(NETWORKDAYS(T23,U23,Holidays!A$2:A$13))-1)</f>
        <v>0</v>
      </c>
      <c r="AN23" s="16">
        <f>IF(OR(AC23="Yes",K23="Info Request", K23="Side-Project"),0,(NETWORKDAYS(U23,W23,Holidays!A$2:A$13))-1)</f>
        <v>0</v>
      </c>
      <c r="AO23" s="16">
        <f>IF(OR(V23="none"),0,((NETWORKDAYS(S23,V23,Holidays!A$2:A$13))-1))</f>
        <v>0</v>
      </c>
      <c r="AP23" s="16" t="b">
        <f t="shared" si="3"/>
        <v>1</v>
      </c>
      <c r="AQ23" s="16" t="b">
        <f t="shared" si="4"/>
        <v>1</v>
      </c>
      <c r="AR23" s="60" t="str">
        <f t="shared" si="5"/>
        <v>OK</v>
      </c>
      <c r="AS23" s="60" t="str">
        <f>IF(table_data[[#This Row],[Flagged-Issues]] = 0, "", table_data[[#This Row],[Flagged-Issues]])</f>
        <v/>
      </c>
    </row>
    <row r="24" spans="1:45" x14ac:dyDescent="0.25">
      <c r="A24" t="s">
        <v>29</v>
      </c>
      <c r="B24" t="s">
        <v>121</v>
      </c>
      <c r="C24" t="s">
        <v>122</v>
      </c>
      <c r="D24" s="65">
        <v>202504160954</v>
      </c>
      <c r="E24" t="s">
        <v>180</v>
      </c>
      <c r="F24" t="s">
        <v>173</v>
      </c>
      <c r="G24"/>
      <c r="H24" t="s">
        <v>181</v>
      </c>
      <c r="I24" t="s">
        <v>126</v>
      </c>
      <c r="J24" t="s">
        <v>136</v>
      </c>
      <c r="K24" t="s">
        <v>128</v>
      </c>
      <c r="L24">
        <v>2</v>
      </c>
      <c r="M24" t="s">
        <v>137</v>
      </c>
      <c r="N24">
        <v>2</v>
      </c>
      <c r="O24"/>
      <c r="P24"/>
      <c r="Q24"/>
      <c r="R24"/>
      <c r="S24" s="72">
        <v>45763</v>
      </c>
      <c r="T24" s="72">
        <v>45763</v>
      </c>
      <c r="U24" s="72">
        <v>45763</v>
      </c>
      <c r="V24" s="72" t="s">
        <v>130</v>
      </c>
      <c r="W24" s="72">
        <v>45763</v>
      </c>
      <c r="X24" s="72" t="s">
        <v>130</v>
      </c>
      <c r="Y24"/>
      <c r="Z24"/>
      <c r="AA24" t="s">
        <v>131</v>
      </c>
      <c r="AB24" t="s">
        <v>132</v>
      </c>
      <c r="AC24" t="s">
        <v>131</v>
      </c>
      <c r="AD24" t="s">
        <v>131</v>
      </c>
      <c r="AE24" t="s">
        <v>131</v>
      </c>
      <c r="AF24" t="s">
        <v>131</v>
      </c>
      <c r="AG24" t="s">
        <v>131</v>
      </c>
      <c r="AH24" t="s">
        <v>131</v>
      </c>
      <c r="AI24" t="s">
        <v>131</v>
      </c>
      <c r="AJ24">
        <v>0</v>
      </c>
      <c r="AK24" t="s">
        <v>131</v>
      </c>
      <c r="AL24" t="s">
        <v>132</v>
      </c>
      <c r="AM24" s="16">
        <f>IF(OR(AC24="Yes",K24="Info Request", K24="Side-Project"),0,(NETWORKDAYS(T24,U24,Holidays!A$2:A$13))-1)</f>
        <v>0</v>
      </c>
      <c r="AN24" s="16">
        <f>IF(OR(AC24="Yes",K24="Info Request", K24="Side-Project"),0,(NETWORKDAYS(U24,W24,Holidays!A$2:A$13))-1)</f>
        <v>0</v>
      </c>
      <c r="AO24" s="16">
        <f>IF(OR(V24="none"),0,((NETWORKDAYS(S24,V24,Holidays!A$2:A$13))-1))</f>
        <v>0</v>
      </c>
      <c r="AP24" s="16" t="b">
        <f t="shared" si="3"/>
        <v>1</v>
      </c>
      <c r="AQ24" s="16" t="b">
        <f t="shared" si="4"/>
        <v>1</v>
      </c>
      <c r="AR24" s="60" t="str">
        <f t="shared" si="5"/>
        <v>OK</v>
      </c>
      <c r="AS24" s="60" t="str">
        <f>IF(table_data[[#This Row],[Flagged-Issues]] = 0, "", table_data[[#This Row],[Flagged-Issues]])</f>
        <v/>
      </c>
    </row>
    <row r="25" spans="1:45" x14ac:dyDescent="0.25">
      <c r="A25" t="s">
        <v>29</v>
      </c>
      <c r="B25" t="s">
        <v>121</v>
      </c>
      <c r="C25" t="s">
        <v>122</v>
      </c>
      <c r="D25" s="65">
        <v>202504041351</v>
      </c>
      <c r="E25" t="s">
        <v>180</v>
      </c>
      <c r="F25" t="s">
        <v>173</v>
      </c>
      <c r="G25"/>
      <c r="H25" t="s">
        <v>182</v>
      </c>
      <c r="I25" t="s">
        <v>126</v>
      </c>
      <c r="J25" t="s">
        <v>151</v>
      </c>
      <c r="K25" t="s">
        <v>128</v>
      </c>
      <c r="L25">
        <v>2</v>
      </c>
      <c r="M25" t="s">
        <v>141</v>
      </c>
      <c r="N25">
        <v>2</v>
      </c>
      <c r="O25"/>
      <c r="P25"/>
      <c r="Q25">
        <v>1</v>
      </c>
      <c r="R25"/>
      <c r="S25" s="72">
        <v>45751</v>
      </c>
      <c r="T25" s="72">
        <v>45751</v>
      </c>
      <c r="U25" s="72">
        <v>45751</v>
      </c>
      <c r="V25" s="72" t="s">
        <v>130</v>
      </c>
      <c r="W25" s="72">
        <v>45754</v>
      </c>
      <c r="X25" s="72" t="s">
        <v>130</v>
      </c>
      <c r="Y25" t="s">
        <v>146</v>
      </c>
      <c r="Z25" t="s">
        <v>147</v>
      </c>
      <c r="AA25" t="s">
        <v>131</v>
      </c>
      <c r="AB25" t="s">
        <v>131</v>
      </c>
      <c r="AC25" t="s">
        <v>131</v>
      </c>
      <c r="AD25" t="s">
        <v>131</v>
      </c>
      <c r="AE25" t="s">
        <v>131</v>
      </c>
      <c r="AF25" t="s">
        <v>131</v>
      </c>
      <c r="AG25" t="s">
        <v>131</v>
      </c>
      <c r="AH25" t="s">
        <v>131</v>
      </c>
      <c r="AI25" t="s">
        <v>131</v>
      </c>
      <c r="AJ25">
        <v>0</v>
      </c>
      <c r="AK25" t="s">
        <v>132</v>
      </c>
      <c r="AL25" t="s">
        <v>148</v>
      </c>
      <c r="AM25" s="16">
        <f>IF(OR(AC25="Yes",K25="Info Request", K25="Side-Project"),0,(NETWORKDAYS(T25,U25,Holidays!A$2:A$13))-1)</f>
        <v>0</v>
      </c>
      <c r="AN25" s="16">
        <f>IF(OR(AC25="Yes",K25="Info Request", K25="Side-Project"),0,(NETWORKDAYS(U25,W25,Holidays!A$2:A$13))-1)</f>
        <v>1</v>
      </c>
      <c r="AO25" s="16">
        <f>IF(OR(V25="none"),0,((NETWORKDAYS(S25,V25,Holidays!A$2:A$13))-1))</f>
        <v>0</v>
      </c>
      <c r="AP25" s="16" t="b">
        <f t="shared" si="3"/>
        <v>1</v>
      </c>
      <c r="AQ25" s="16" t="b">
        <f t="shared" si="4"/>
        <v>1</v>
      </c>
      <c r="AR25" s="60" t="str">
        <f t="shared" si="5"/>
        <v>OK</v>
      </c>
      <c r="AS25" s="60" t="str">
        <f>IF(table_data[[#This Row],[Flagged-Issues]] = 0, "", table_data[[#This Row],[Flagged-Issues]])</f>
        <v/>
      </c>
    </row>
    <row r="26" spans="1:45" x14ac:dyDescent="0.25">
      <c r="A26" t="s">
        <v>104</v>
      </c>
      <c r="B26" t="s">
        <v>121</v>
      </c>
      <c r="C26" t="s">
        <v>122</v>
      </c>
      <c r="D26" s="65">
        <v>202504071019</v>
      </c>
      <c r="E26" t="s">
        <v>183</v>
      </c>
      <c r="F26" t="s">
        <v>134</v>
      </c>
      <c r="G26"/>
      <c r="H26" t="s">
        <v>184</v>
      </c>
      <c r="I26" t="s">
        <v>126</v>
      </c>
      <c r="J26" t="s">
        <v>157</v>
      </c>
      <c r="K26" t="s">
        <v>128</v>
      </c>
      <c r="L26">
        <v>2</v>
      </c>
      <c r="M26" t="s">
        <v>158</v>
      </c>
      <c r="N26">
        <v>4</v>
      </c>
      <c r="O26"/>
      <c r="P26"/>
      <c r="Q26"/>
      <c r="R26"/>
      <c r="S26" s="72">
        <v>45754</v>
      </c>
      <c r="T26" s="72">
        <v>45754</v>
      </c>
      <c r="U26" s="72">
        <v>45754</v>
      </c>
      <c r="V26" s="72" t="s">
        <v>130</v>
      </c>
      <c r="W26" s="72">
        <v>45754</v>
      </c>
      <c r="X26" s="72" t="s">
        <v>130</v>
      </c>
      <c r="Y26" t="s">
        <v>146</v>
      </c>
      <c r="Z26" t="s">
        <v>147</v>
      </c>
      <c r="AA26" t="s">
        <v>131</v>
      </c>
      <c r="AB26" t="s">
        <v>132</v>
      </c>
      <c r="AC26" t="s">
        <v>131</v>
      </c>
      <c r="AD26" t="s">
        <v>131</v>
      </c>
      <c r="AE26" t="s">
        <v>131</v>
      </c>
      <c r="AF26" t="s">
        <v>131</v>
      </c>
      <c r="AG26" t="s">
        <v>131</v>
      </c>
      <c r="AH26" t="s">
        <v>131</v>
      </c>
      <c r="AI26" t="s">
        <v>132</v>
      </c>
      <c r="AJ26">
        <v>1</v>
      </c>
      <c r="AK26" t="s">
        <v>131</v>
      </c>
      <c r="AL26" t="s">
        <v>148</v>
      </c>
      <c r="AM26" s="16">
        <f>IF(OR(AC26="Yes",K26="Info Request", K26="Side-Project"),0,(NETWORKDAYS(T26,U26,Holidays!A$2:A$13))-1)</f>
        <v>0</v>
      </c>
      <c r="AN26" s="16">
        <f>IF(OR(AC26="Yes",K26="Info Request", K26="Side-Project"),0,(NETWORKDAYS(U26,W26,Holidays!A$2:A$13))-1)</f>
        <v>0</v>
      </c>
      <c r="AO26" s="16">
        <f>IF(OR(V26="none"),0,((NETWORKDAYS(S26,V26,Holidays!A$2:A$13))-1))</f>
        <v>0</v>
      </c>
      <c r="AP26" s="16" t="b">
        <f t="shared" si="3"/>
        <v>1</v>
      </c>
      <c r="AQ26" s="16" t="b">
        <f t="shared" si="4"/>
        <v>1</v>
      </c>
      <c r="AR26" s="60" t="str">
        <f t="shared" si="5"/>
        <v>OK</v>
      </c>
      <c r="AS26" s="60">
        <f>IF(table_data[[#This Row],[Flagged-Issues]] = 0, "", table_data[[#This Row],[Flagged-Issues]])</f>
        <v>1</v>
      </c>
    </row>
    <row r="27" spans="1:45" x14ac:dyDescent="0.25">
      <c r="A27" t="s">
        <v>104</v>
      </c>
      <c r="B27" t="s">
        <v>121</v>
      </c>
      <c r="C27" t="s">
        <v>122</v>
      </c>
      <c r="D27" s="65">
        <v>202504031349</v>
      </c>
      <c r="E27" t="s">
        <v>183</v>
      </c>
      <c r="F27" t="s">
        <v>134</v>
      </c>
      <c r="G27"/>
      <c r="H27" t="s">
        <v>185</v>
      </c>
      <c r="I27" t="s">
        <v>126</v>
      </c>
      <c r="J27" t="s">
        <v>127</v>
      </c>
      <c r="K27" t="s">
        <v>128</v>
      </c>
      <c r="L27">
        <v>2</v>
      </c>
      <c r="M27" t="s">
        <v>141</v>
      </c>
      <c r="N27">
        <v>3</v>
      </c>
      <c r="O27"/>
      <c r="P27"/>
      <c r="Q27"/>
      <c r="R27"/>
      <c r="S27" s="72">
        <v>45750</v>
      </c>
      <c r="T27" s="72">
        <v>45750</v>
      </c>
      <c r="U27" s="72">
        <v>45750</v>
      </c>
      <c r="V27" s="72" t="s">
        <v>130</v>
      </c>
      <c r="W27" s="72">
        <v>45758</v>
      </c>
      <c r="X27" s="72" t="s">
        <v>130</v>
      </c>
      <c r="Y27" t="s">
        <v>146</v>
      </c>
      <c r="Z27" t="s">
        <v>147</v>
      </c>
      <c r="AA27" t="s">
        <v>131</v>
      </c>
      <c r="AB27" t="s">
        <v>132</v>
      </c>
      <c r="AC27" t="s">
        <v>131</v>
      </c>
      <c r="AD27" t="s">
        <v>131</v>
      </c>
      <c r="AE27" t="s">
        <v>131</v>
      </c>
      <c r="AF27" t="s">
        <v>131</v>
      </c>
      <c r="AG27" t="s">
        <v>131</v>
      </c>
      <c r="AH27" t="s">
        <v>131</v>
      </c>
      <c r="AI27" t="s">
        <v>131</v>
      </c>
      <c r="AJ27">
        <v>0</v>
      </c>
      <c r="AK27" t="s">
        <v>131</v>
      </c>
      <c r="AL27" t="s">
        <v>148</v>
      </c>
      <c r="AM27" s="16">
        <f>IF(OR(AC27="Yes",K27="Info Request", K27="Side-Project"),0,(NETWORKDAYS(T27,U27,Holidays!A$2:A$13))-1)</f>
        <v>0</v>
      </c>
      <c r="AN27" s="16">
        <f>IF(OR(AC27="Yes",K27="Info Request", K27="Side-Project"),0,(NETWORKDAYS(U27,W27,Holidays!A$2:A$13))-1)</f>
        <v>6</v>
      </c>
      <c r="AO27" s="16">
        <f>IF(OR(V27="none"),0,((NETWORKDAYS(S27,V27,Holidays!A$2:A$13))-1))</f>
        <v>0</v>
      </c>
      <c r="AP27" s="16" t="b">
        <f t="shared" si="3"/>
        <v>1</v>
      </c>
      <c r="AQ27" s="16" t="b">
        <f t="shared" si="4"/>
        <v>1</v>
      </c>
      <c r="AR27" s="60" t="str">
        <f t="shared" si="5"/>
        <v>OK</v>
      </c>
      <c r="AS27" s="60" t="str">
        <f>IF(table_data[[#This Row],[Flagged-Issues]] = 0, "", table_data[[#This Row],[Flagged-Issues]])</f>
        <v/>
      </c>
    </row>
    <row r="28" spans="1:45" x14ac:dyDescent="0.25">
      <c r="A28" t="s">
        <v>104</v>
      </c>
      <c r="B28" t="s">
        <v>121</v>
      </c>
      <c r="C28" t="s">
        <v>122</v>
      </c>
      <c r="D28" s="65">
        <v>2025041100935</v>
      </c>
      <c r="E28" t="s">
        <v>183</v>
      </c>
      <c r="F28" t="s">
        <v>134</v>
      </c>
      <c r="G28"/>
      <c r="H28" t="s">
        <v>186</v>
      </c>
      <c r="I28" t="s">
        <v>126</v>
      </c>
      <c r="J28" t="s">
        <v>127</v>
      </c>
      <c r="K28" t="s">
        <v>128</v>
      </c>
      <c r="L28">
        <v>3</v>
      </c>
      <c r="M28" t="s">
        <v>187</v>
      </c>
      <c r="N28">
        <v>14</v>
      </c>
      <c r="O28"/>
      <c r="P28"/>
      <c r="Q28"/>
      <c r="R28"/>
      <c r="S28" s="72">
        <v>45758</v>
      </c>
      <c r="T28" s="72">
        <v>45758</v>
      </c>
      <c r="U28" s="72">
        <v>45758</v>
      </c>
      <c r="V28" s="72" t="s">
        <v>130</v>
      </c>
      <c r="W28" s="72">
        <v>45769</v>
      </c>
      <c r="X28" s="72" t="s">
        <v>130</v>
      </c>
      <c r="Y28" t="s">
        <v>146</v>
      </c>
      <c r="Z28" t="s">
        <v>147</v>
      </c>
      <c r="AA28" t="s">
        <v>131</v>
      </c>
      <c r="AB28" t="s">
        <v>132</v>
      </c>
      <c r="AC28" t="s">
        <v>131</v>
      </c>
      <c r="AD28" t="s">
        <v>132</v>
      </c>
      <c r="AE28" t="s">
        <v>132</v>
      </c>
      <c r="AF28" t="s">
        <v>132</v>
      </c>
      <c r="AG28" t="s">
        <v>131</v>
      </c>
      <c r="AH28" t="s">
        <v>131</v>
      </c>
      <c r="AI28" t="s">
        <v>132</v>
      </c>
      <c r="AJ28">
        <v>0</v>
      </c>
      <c r="AK28" t="s">
        <v>131</v>
      </c>
      <c r="AL28" t="s">
        <v>148</v>
      </c>
      <c r="AM28" s="16">
        <f>IF(OR(AC28="Yes",K28="Info Request", K28="Side-Project"),0,(NETWORKDAYS(T28,U28,Holidays!A$2:A$13))-1)</f>
        <v>0</v>
      </c>
      <c r="AN28" s="16">
        <f>IF(OR(AC28="Yes",K28="Info Request", K28="Side-Project"),0,(NETWORKDAYS(U28,W28,Holidays!A$2:A$13))-1)</f>
        <v>5</v>
      </c>
      <c r="AO28" s="16">
        <f>IF(OR(V28="none"),0,((NETWORKDAYS(S28,V28,Holidays!A$2:A$13))-1))</f>
        <v>0</v>
      </c>
      <c r="AP28" s="16" t="b">
        <f t="shared" si="3"/>
        <v>1</v>
      </c>
      <c r="AQ28" s="16" t="b">
        <f t="shared" si="4"/>
        <v>1</v>
      </c>
      <c r="AR28" s="60" t="str">
        <f t="shared" si="5"/>
        <v>OK</v>
      </c>
      <c r="AS28" s="60" t="str">
        <f>IF(table_data[[#This Row],[Flagged-Issues]] = 0, "", table_data[[#This Row],[Flagged-Issues]])</f>
        <v/>
      </c>
    </row>
    <row r="29" spans="1:45" x14ac:dyDescent="0.25">
      <c r="A29" t="s">
        <v>104</v>
      </c>
      <c r="B29" t="s">
        <v>121</v>
      </c>
      <c r="C29" t="s">
        <v>122</v>
      </c>
      <c r="D29" s="65">
        <v>202504091355</v>
      </c>
      <c r="E29" t="s">
        <v>183</v>
      </c>
      <c r="F29" t="s">
        <v>134</v>
      </c>
      <c r="G29"/>
      <c r="H29" t="s">
        <v>188</v>
      </c>
      <c r="I29" t="s">
        <v>126</v>
      </c>
      <c r="J29" t="s">
        <v>157</v>
      </c>
      <c r="K29" t="s">
        <v>128</v>
      </c>
      <c r="L29">
        <v>2</v>
      </c>
      <c r="M29" t="s">
        <v>189</v>
      </c>
      <c r="N29">
        <v>4</v>
      </c>
      <c r="O29"/>
      <c r="P29"/>
      <c r="Q29"/>
      <c r="R29"/>
      <c r="S29" s="72">
        <v>45756</v>
      </c>
      <c r="T29" s="72">
        <v>45756</v>
      </c>
      <c r="U29" s="72">
        <v>45756</v>
      </c>
      <c r="V29" s="72" t="s">
        <v>130</v>
      </c>
      <c r="W29" s="72">
        <v>45756</v>
      </c>
      <c r="X29" s="72" t="s">
        <v>130</v>
      </c>
      <c r="Y29" t="s">
        <v>146</v>
      </c>
      <c r="Z29" t="s">
        <v>147</v>
      </c>
      <c r="AA29" t="s">
        <v>131</v>
      </c>
      <c r="AB29" t="s">
        <v>132</v>
      </c>
      <c r="AC29" t="s">
        <v>131</v>
      </c>
      <c r="AD29" t="s">
        <v>131</v>
      </c>
      <c r="AE29" t="s">
        <v>131</v>
      </c>
      <c r="AF29" t="s">
        <v>131</v>
      </c>
      <c r="AG29" t="s">
        <v>131</v>
      </c>
      <c r="AH29" t="s">
        <v>131</v>
      </c>
      <c r="AI29" t="s">
        <v>132</v>
      </c>
      <c r="AJ29">
        <v>0</v>
      </c>
      <c r="AK29" t="s">
        <v>131</v>
      </c>
      <c r="AL29" t="s">
        <v>148</v>
      </c>
      <c r="AM29" s="16">
        <f>IF(OR(AC29="Yes",K29="Info Request", K29="Side-Project"),0,(NETWORKDAYS(T29,U29,Holidays!A$2:A$13))-1)</f>
        <v>0</v>
      </c>
      <c r="AN29" s="16">
        <f>IF(OR(AC29="Yes",K29="Info Request", K29="Side-Project"),0,(NETWORKDAYS(U29,W29,Holidays!A$2:A$13))-1)</f>
        <v>0</v>
      </c>
      <c r="AO29" s="16">
        <f>IF(OR(V29="none"),0,((NETWORKDAYS(S29,V29,Holidays!A$2:A$13))-1))</f>
        <v>0</v>
      </c>
      <c r="AP29" s="16" t="b">
        <f t="shared" si="3"/>
        <v>1</v>
      </c>
      <c r="AQ29" s="16" t="b">
        <f t="shared" si="4"/>
        <v>1</v>
      </c>
      <c r="AR29" s="60" t="str">
        <f t="shared" si="5"/>
        <v>OK</v>
      </c>
      <c r="AS29" s="60" t="str">
        <f>IF(table_data[[#This Row],[Flagged-Issues]] = 0, "", table_data[[#This Row],[Flagged-Issues]])</f>
        <v/>
      </c>
    </row>
    <row r="30" spans="1:45" x14ac:dyDescent="0.25">
      <c r="A30" t="s">
        <v>104</v>
      </c>
      <c r="B30" t="s">
        <v>121</v>
      </c>
      <c r="C30" t="s">
        <v>122</v>
      </c>
      <c r="D30" s="65">
        <v>202504290903</v>
      </c>
      <c r="E30" t="s">
        <v>190</v>
      </c>
      <c r="F30" t="s">
        <v>191</v>
      </c>
      <c r="G30"/>
      <c r="H30" t="s">
        <v>192</v>
      </c>
      <c r="I30" t="s">
        <v>126</v>
      </c>
      <c r="J30" t="s">
        <v>190</v>
      </c>
      <c r="K30" t="s">
        <v>128</v>
      </c>
      <c r="L30">
        <v>1</v>
      </c>
      <c r="M30" t="s">
        <v>143</v>
      </c>
      <c r="N30">
        <v>1</v>
      </c>
      <c r="O30"/>
      <c r="P30"/>
      <c r="Q30"/>
      <c r="R30"/>
      <c r="S30" s="72">
        <v>45776</v>
      </c>
      <c r="T30" s="72">
        <v>45776</v>
      </c>
      <c r="U30" s="72">
        <v>45776</v>
      </c>
      <c r="V30" s="72" t="s">
        <v>130</v>
      </c>
      <c r="W30" s="72">
        <v>45776</v>
      </c>
      <c r="X30" s="72" t="s">
        <v>130</v>
      </c>
      <c r="Y30"/>
      <c r="Z30"/>
      <c r="AA30" t="s">
        <v>131</v>
      </c>
      <c r="AB30" t="s">
        <v>132</v>
      </c>
      <c r="AC30" t="s">
        <v>131</v>
      </c>
      <c r="AD30" t="s">
        <v>131</v>
      </c>
      <c r="AE30" t="s">
        <v>131</v>
      </c>
      <c r="AF30" t="s">
        <v>131</v>
      </c>
      <c r="AG30" t="s">
        <v>131</v>
      </c>
      <c r="AH30" t="s">
        <v>131</v>
      </c>
      <c r="AI30" t="s">
        <v>131</v>
      </c>
      <c r="AJ30">
        <v>0</v>
      </c>
      <c r="AK30" t="s">
        <v>131</v>
      </c>
      <c r="AL30" t="s">
        <v>132</v>
      </c>
      <c r="AM30" s="16">
        <f>IF(OR(AC30="Yes",K30="Info Request", K30="Side-Project"),0,(NETWORKDAYS(T30,U30,Holidays!A$2:A$13))-1)</f>
        <v>0</v>
      </c>
      <c r="AN30" s="16">
        <f>IF(OR(AC30="Yes",K30="Info Request", K30="Side-Project"),0,(NETWORKDAYS(U30,W30,Holidays!A$2:A$13))-1)</f>
        <v>0</v>
      </c>
      <c r="AO30" s="16">
        <f>IF(OR(V30="none"),0,((NETWORKDAYS(S30,V30,Holidays!A$2:A$13))-1))</f>
        <v>0</v>
      </c>
      <c r="AP30" s="16" t="b">
        <f t="shared" si="3"/>
        <v>1</v>
      </c>
      <c r="AQ30" s="16" t="b">
        <f t="shared" si="4"/>
        <v>1</v>
      </c>
      <c r="AR30" s="60" t="str">
        <f t="shared" si="5"/>
        <v>OK</v>
      </c>
      <c r="AS30" s="60" t="str">
        <f>IF(table_data[[#This Row],[Flagged-Issues]] = 0, "", table_data[[#This Row],[Flagged-Issues]])</f>
        <v/>
      </c>
    </row>
    <row r="31" spans="1:45" x14ac:dyDescent="0.25">
      <c r="A31" t="s">
        <v>29</v>
      </c>
      <c r="B31" t="s">
        <v>121</v>
      </c>
      <c r="C31" t="s">
        <v>122</v>
      </c>
      <c r="D31" s="65">
        <v>202503281342</v>
      </c>
      <c r="E31" t="s">
        <v>193</v>
      </c>
      <c r="F31" t="s">
        <v>173</v>
      </c>
      <c r="G31"/>
      <c r="H31" t="s">
        <v>194</v>
      </c>
      <c r="I31" t="s">
        <v>126</v>
      </c>
      <c r="J31" t="s">
        <v>167</v>
      </c>
      <c r="K31" t="s">
        <v>128</v>
      </c>
      <c r="L31">
        <v>3</v>
      </c>
      <c r="M31" t="s">
        <v>187</v>
      </c>
      <c r="N31">
        <v>10</v>
      </c>
      <c r="O31"/>
      <c r="P31"/>
      <c r="Q31"/>
      <c r="R31"/>
      <c r="S31" s="72">
        <v>45744</v>
      </c>
      <c r="T31" s="72">
        <v>45747</v>
      </c>
      <c r="U31" s="72">
        <v>45748</v>
      </c>
      <c r="V31" s="72" t="s">
        <v>130</v>
      </c>
      <c r="W31" s="72">
        <v>45769</v>
      </c>
      <c r="X31" s="72" t="s">
        <v>130</v>
      </c>
      <c r="Y31" t="s">
        <v>146</v>
      </c>
      <c r="Z31" t="s">
        <v>147</v>
      </c>
      <c r="AA31" t="s">
        <v>131</v>
      </c>
      <c r="AB31" t="s">
        <v>132</v>
      </c>
      <c r="AC31" t="s">
        <v>131</v>
      </c>
      <c r="AD31" t="s">
        <v>131</v>
      </c>
      <c r="AE31" t="s">
        <v>131</v>
      </c>
      <c r="AF31" t="s">
        <v>131</v>
      </c>
      <c r="AG31" t="s">
        <v>131</v>
      </c>
      <c r="AH31" t="s">
        <v>131</v>
      </c>
      <c r="AI31" t="s">
        <v>132</v>
      </c>
      <c r="AJ31">
        <v>0</v>
      </c>
      <c r="AK31" t="s">
        <v>132</v>
      </c>
      <c r="AL31" t="s">
        <v>148</v>
      </c>
      <c r="AM31" s="16">
        <f>IF(OR(AC31="Yes",K31="Info Request", K31="Side-Project"),0,(NETWORKDAYS(T31,U31,Holidays!A$2:A$13))-1)</f>
        <v>1</v>
      </c>
      <c r="AN31" s="16">
        <f>IF(OR(AC31="Yes",K31="Info Request", K31="Side-Project"),0,(NETWORKDAYS(U31,W31,Holidays!A$2:A$13))-1)</f>
        <v>13</v>
      </c>
      <c r="AO31" s="16">
        <f>IF(OR(V31="none"),0,((NETWORKDAYS(S31,V31,Holidays!A$2:A$13))-1))</f>
        <v>0</v>
      </c>
      <c r="AP31" s="16" t="b">
        <f t="shared" si="3"/>
        <v>1</v>
      </c>
      <c r="AQ31" s="16" t="b">
        <f t="shared" si="4"/>
        <v>1</v>
      </c>
      <c r="AR31" s="60" t="str">
        <f t="shared" si="5"/>
        <v>OK</v>
      </c>
      <c r="AS31" s="60" t="str">
        <f>IF(table_data[[#This Row],[Flagged-Issues]] = 0, "", table_data[[#This Row],[Flagged-Issues]])</f>
        <v/>
      </c>
    </row>
    <row r="32" spans="1:45" x14ac:dyDescent="0.25">
      <c r="A32" t="s">
        <v>104</v>
      </c>
      <c r="B32" t="s">
        <v>121</v>
      </c>
      <c r="C32" t="s">
        <v>122</v>
      </c>
      <c r="D32" s="65">
        <v>202503311533</v>
      </c>
      <c r="E32" t="s">
        <v>183</v>
      </c>
      <c r="F32" t="s">
        <v>134</v>
      </c>
      <c r="G32"/>
      <c r="H32" t="s">
        <v>195</v>
      </c>
      <c r="I32" t="s">
        <v>126</v>
      </c>
      <c r="J32" t="s">
        <v>136</v>
      </c>
      <c r="K32" t="s">
        <v>128</v>
      </c>
      <c r="L32">
        <v>2</v>
      </c>
      <c r="M32" t="s">
        <v>129</v>
      </c>
      <c r="N32">
        <v>4</v>
      </c>
      <c r="O32"/>
      <c r="P32"/>
      <c r="Q32"/>
      <c r="R32"/>
      <c r="S32" s="72">
        <v>45747</v>
      </c>
      <c r="T32" s="72">
        <v>45747</v>
      </c>
      <c r="U32" s="72">
        <v>45747</v>
      </c>
      <c r="V32" s="72" t="s">
        <v>130</v>
      </c>
      <c r="W32" s="72">
        <v>45748</v>
      </c>
      <c r="X32" s="72" t="s">
        <v>130</v>
      </c>
      <c r="Y32"/>
      <c r="Z32"/>
      <c r="AA32" t="s">
        <v>131</v>
      </c>
      <c r="AB32" t="s">
        <v>132</v>
      </c>
      <c r="AC32" t="s">
        <v>131</v>
      </c>
      <c r="AD32" t="s">
        <v>131</v>
      </c>
      <c r="AE32" t="s">
        <v>131</v>
      </c>
      <c r="AF32" t="s">
        <v>131</v>
      </c>
      <c r="AG32" t="s">
        <v>131</v>
      </c>
      <c r="AH32" t="s">
        <v>131</v>
      </c>
      <c r="AI32" t="s">
        <v>132</v>
      </c>
      <c r="AJ32">
        <v>0</v>
      </c>
      <c r="AK32" t="s">
        <v>131</v>
      </c>
      <c r="AL32" t="s">
        <v>132</v>
      </c>
      <c r="AM32" s="16">
        <f>IF(OR(AC32="Yes",K32="Info Request", K32="Side-Project"),0,(NETWORKDAYS(T32,U32,Holidays!A$2:A$13))-1)</f>
        <v>0</v>
      </c>
      <c r="AN32" s="16">
        <f>IF(OR(AC32="Yes",K32="Info Request", K32="Side-Project"),0,(NETWORKDAYS(U32,W32,Holidays!A$2:A$13))-1)</f>
        <v>1</v>
      </c>
      <c r="AO32" s="16">
        <f>IF(OR(V32="none"),0,((NETWORKDAYS(S32,V32,Holidays!A$2:A$13))-1))</f>
        <v>0</v>
      </c>
      <c r="AP32" s="16" t="b">
        <f t="shared" si="3"/>
        <v>1</v>
      </c>
      <c r="AQ32" s="16" t="b">
        <f t="shared" si="4"/>
        <v>1</v>
      </c>
      <c r="AR32" s="60" t="str">
        <f t="shared" si="5"/>
        <v>OK</v>
      </c>
      <c r="AS32" s="60" t="str">
        <f>IF(table_data[[#This Row],[Flagged-Issues]] = 0, "", table_data[[#This Row],[Flagged-Issues]])</f>
        <v/>
      </c>
    </row>
    <row r="33" spans="1:45" x14ac:dyDescent="0.25">
      <c r="A33" t="s">
        <v>29</v>
      </c>
      <c r="B33" t="s">
        <v>121</v>
      </c>
      <c r="C33" t="s">
        <v>122</v>
      </c>
      <c r="D33" s="65">
        <v>202504021504</v>
      </c>
      <c r="E33" t="s">
        <v>196</v>
      </c>
      <c r="F33" t="s">
        <v>173</v>
      </c>
      <c r="G33"/>
      <c r="H33" t="s">
        <v>197</v>
      </c>
      <c r="I33" t="s">
        <v>126</v>
      </c>
      <c r="J33" t="s">
        <v>127</v>
      </c>
      <c r="K33" t="s">
        <v>128</v>
      </c>
      <c r="L33">
        <v>2</v>
      </c>
      <c r="M33" t="s">
        <v>141</v>
      </c>
      <c r="N33">
        <v>2</v>
      </c>
      <c r="O33">
        <v>2</v>
      </c>
      <c r="P33"/>
      <c r="Q33"/>
      <c r="R33"/>
      <c r="S33" s="72">
        <v>45749</v>
      </c>
      <c r="T33" s="72">
        <v>45749</v>
      </c>
      <c r="U33" s="72">
        <v>45749</v>
      </c>
      <c r="V33" s="72" t="s">
        <v>130</v>
      </c>
      <c r="W33" s="72">
        <v>45749</v>
      </c>
      <c r="X33" s="72" t="s">
        <v>130</v>
      </c>
      <c r="Y33" t="s">
        <v>146</v>
      </c>
      <c r="Z33" t="s">
        <v>147</v>
      </c>
      <c r="AA33" t="s">
        <v>131</v>
      </c>
      <c r="AB33" t="s">
        <v>132</v>
      </c>
      <c r="AC33" t="s">
        <v>131</v>
      </c>
      <c r="AD33" t="s">
        <v>131</v>
      </c>
      <c r="AE33" t="s">
        <v>131</v>
      </c>
      <c r="AF33" t="s">
        <v>131</v>
      </c>
      <c r="AG33" t="s">
        <v>131</v>
      </c>
      <c r="AH33" t="s">
        <v>131</v>
      </c>
      <c r="AI33" t="s">
        <v>132</v>
      </c>
      <c r="AJ33">
        <v>0</v>
      </c>
      <c r="AK33" t="s">
        <v>131</v>
      </c>
      <c r="AL33" t="s">
        <v>148</v>
      </c>
      <c r="AM33" s="16">
        <f>IF(OR(AC33="Yes",K33="Info Request", K33="Side-Project"),0,(NETWORKDAYS(T33,U33,Holidays!A$2:A$13))-1)</f>
        <v>0</v>
      </c>
      <c r="AN33" s="16">
        <f>IF(OR(AC33="Yes",K33="Info Request", K33="Side-Project"),0,(NETWORKDAYS(U33,W33,Holidays!A$2:A$13))-1)</f>
        <v>0</v>
      </c>
      <c r="AO33" s="16">
        <f>IF(OR(V33="none"),0,((NETWORKDAYS(S33,V33,Holidays!A$2:A$13))-1))</f>
        <v>0</v>
      </c>
      <c r="AP33" s="16" t="b">
        <f t="shared" si="3"/>
        <v>1</v>
      </c>
      <c r="AQ33" s="16" t="b">
        <f t="shared" si="4"/>
        <v>1</v>
      </c>
      <c r="AR33" s="60" t="str">
        <f t="shared" si="5"/>
        <v>OK</v>
      </c>
      <c r="AS33" s="60" t="str">
        <f>IF(table_data[[#This Row],[Flagged-Issues]] = 0, "", table_data[[#This Row],[Flagged-Issues]])</f>
        <v/>
      </c>
    </row>
    <row r="34" spans="1:45" x14ac:dyDescent="0.25">
      <c r="A34" t="s">
        <v>104</v>
      </c>
      <c r="B34" t="s">
        <v>154</v>
      </c>
      <c r="C34" t="s">
        <v>122</v>
      </c>
      <c r="D34" s="65">
        <v>202504161442</v>
      </c>
      <c r="E34" t="s">
        <v>198</v>
      </c>
      <c r="F34" t="s">
        <v>134</v>
      </c>
      <c r="G34"/>
      <c r="H34" t="s">
        <v>199</v>
      </c>
      <c r="I34" t="s">
        <v>126</v>
      </c>
      <c r="J34" t="s">
        <v>190</v>
      </c>
      <c r="K34" t="s">
        <v>179</v>
      </c>
      <c r="L34">
        <v>2</v>
      </c>
      <c r="M34" t="s">
        <v>158</v>
      </c>
      <c r="N34"/>
      <c r="O34"/>
      <c r="P34"/>
      <c r="Q34"/>
      <c r="R34"/>
      <c r="S34" s="72">
        <v>45763</v>
      </c>
      <c r="T34" s="72">
        <v>45763</v>
      </c>
      <c r="U34" s="72">
        <v>45763</v>
      </c>
      <c r="V34" s="72" t="s">
        <v>130</v>
      </c>
      <c r="W34" s="72">
        <v>45777</v>
      </c>
      <c r="X34" s="72" t="s">
        <v>130</v>
      </c>
      <c r="Y34"/>
      <c r="Z34"/>
      <c r="AA34" t="s">
        <v>131</v>
      </c>
      <c r="AB34" t="s">
        <v>131</v>
      </c>
      <c r="AC34" t="s">
        <v>131</v>
      </c>
      <c r="AD34" t="s">
        <v>131</v>
      </c>
      <c r="AE34" t="s">
        <v>131</v>
      </c>
      <c r="AF34" t="s">
        <v>131</v>
      </c>
      <c r="AG34" t="s">
        <v>131</v>
      </c>
      <c r="AH34" t="s">
        <v>131</v>
      </c>
      <c r="AI34" t="s">
        <v>131</v>
      </c>
      <c r="AJ34">
        <v>0</v>
      </c>
      <c r="AK34" t="s">
        <v>131</v>
      </c>
      <c r="AL34" t="s">
        <v>132</v>
      </c>
      <c r="AM34" s="16">
        <f>IF(OR(AC34="Yes",K34="Info Request", K34="Side-Project"),0,(NETWORKDAYS(T34,U34,Holidays!A$2:A$13))-1)</f>
        <v>0</v>
      </c>
      <c r="AN34" s="16">
        <f>IF(OR(AC34="Yes",K34="Info Request", K34="Side-Project"),0,(NETWORKDAYS(U34,W34,Holidays!A$2:A$13))-1)</f>
        <v>0</v>
      </c>
      <c r="AO34" s="16">
        <f>IF(OR(V34="none"),0,((NETWORKDAYS(S34,V34,Holidays!A$2:A$13))-1))</f>
        <v>0</v>
      </c>
      <c r="AP34" s="16" t="b">
        <f t="shared" si="3"/>
        <v>1</v>
      </c>
      <c r="AQ34" s="16" t="b">
        <f t="shared" si="4"/>
        <v>1</v>
      </c>
      <c r="AR34" s="60" t="str">
        <f t="shared" si="5"/>
        <v>OK</v>
      </c>
      <c r="AS34" s="60" t="str">
        <f>IF(table_data[[#This Row],[Flagged-Issues]] = 0, "", table_data[[#This Row],[Flagged-Issues]])</f>
        <v/>
      </c>
    </row>
    <row r="35" spans="1:45" x14ac:dyDescent="0.25">
      <c r="A35" t="s">
        <v>29</v>
      </c>
      <c r="B35" t="s">
        <v>154</v>
      </c>
      <c r="C35" t="s">
        <v>122</v>
      </c>
      <c r="D35" s="65">
        <v>202503270841</v>
      </c>
      <c r="E35" t="s">
        <v>200</v>
      </c>
      <c r="F35" t="s">
        <v>124</v>
      </c>
      <c r="G35"/>
      <c r="H35" t="s">
        <v>201</v>
      </c>
      <c r="I35" t="s">
        <v>126</v>
      </c>
      <c r="J35" t="s">
        <v>127</v>
      </c>
      <c r="K35" t="s">
        <v>128</v>
      </c>
      <c r="L35">
        <v>2</v>
      </c>
      <c r="M35" t="s">
        <v>162</v>
      </c>
      <c r="N35">
        <v>2</v>
      </c>
      <c r="O35"/>
      <c r="P35"/>
      <c r="Q35">
        <v>8</v>
      </c>
      <c r="R35"/>
      <c r="S35" s="72">
        <v>45743</v>
      </c>
      <c r="T35" s="72">
        <v>45749</v>
      </c>
      <c r="U35" s="72">
        <v>45750</v>
      </c>
      <c r="V35" s="72" t="s">
        <v>130</v>
      </c>
      <c r="W35" s="72">
        <v>45754</v>
      </c>
      <c r="X35" s="72" t="s">
        <v>130</v>
      </c>
      <c r="Y35"/>
      <c r="Z35"/>
      <c r="AA35" t="s">
        <v>131</v>
      </c>
      <c r="AB35" t="s">
        <v>131</v>
      </c>
      <c r="AC35" t="s">
        <v>131</v>
      </c>
      <c r="AD35" t="s">
        <v>131</v>
      </c>
      <c r="AE35" t="s">
        <v>131</v>
      </c>
      <c r="AF35" t="s">
        <v>131</v>
      </c>
      <c r="AG35" t="s">
        <v>131</v>
      </c>
      <c r="AH35" t="s">
        <v>131</v>
      </c>
      <c r="AI35" t="s">
        <v>131</v>
      </c>
      <c r="AJ35">
        <v>0</v>
      </c>
      <c r="AK35" t="s">
        <v>131</v>
      </c>
      <c r="AL35" t="s">
        <v>132</v>
      </c>
      <c r="AM35" s="16">
        <f>IF(OR(AC35="Yes",K35="Info Request", K35="Side-Project"),0,(NETWORKDAYS(T35,U35,Holidays!A$2:A$13))-1)</f>
        <v>1</v>
      </c>
      <c r="AN35" s="16">
        <f>IF(OR(AC35="Yes",K35="Info Request", K35="Side-Project"),0,(NETWORKDAYS(U35,W35,Holidays!A$2:A$13))-1)</f>
        <v>2</v>
      </c>
      <c r="AO35" s="16">
        <f>IF(OR(V35="none"),0,((NETWORKDAYS(S35,V35,Holidays!A$2:A$13))-1))</f>
        <v>0</v>
      </c>
      <c r="AP35" s="16" t="b">
        <f t="shared" si="3"/>
        <v>1</v>
      </c>
      <c r="AQ35" s="16" t="b">
        <f t="shared" si="4"/>
        <v>1</v>
      </c>
      <c r="AR35" s="60" t="str">
        <f t="shared" si="5"/>
        <v>OK</v>
      </c>
      <c r="AS35" s="60" t="str">
        <f>IF(table_data[[#This Row],[Flagged-Issues]] = 0, "", table_data[[#This Row],[Flagged-Issues]])</f>
        <v/>
      </c>
    </row>
    <row r="36" spans="1:45" x14ac:dyDescent="0.25">
      <c r="A36" t="s">
        <v>29</v>
      </c>
      <c r="B36" t="s">
        <v>154</v>
      </c>
      <c r="C36" t="s">
        <v>122</v>
      </c>
      <c r="D36" s="65">
        <v>202503201310</v>
      </c>
      <c r="E36" t="s">
        <v>200</v>
      </c>
      <c r="F36" t="s">
        <v>124</v>
      </c>
      <c r="G36"/>
      <c r="H36" t="s">
        <v>202</v>
      </c>
      <c r="I36" t="s">
        <v>203</v>
      </c>
      <c r="J36" t="s">
        <v>167</v>
      </c>
      <c r="K36" t="s">
        <v>128</v>
      </c>
      <c r="L36">
        <v>1</v>
      </c>
      <c r="M36" t="s">
        <v>129</v>
      </c>
      <c r="N36">
        <v>4</v>
      </c>
      <c r="O36"/>
      <c r="P36"/>
      <c r="Q36">
        <v>2</v>
      </c>
      <c r="R36"/>
      <c r="S36" s="72">
        <v>45736</v>
      </c>
      <c r="T36" s="72">
        <v>45750</v>
      </c>
      <c r="U36" s="72">
        <v>45750</v>
      </c>
      <c r="V36" s="72">
        <v>45750</v>
      </c>
      <c r="W36" s="72">
        <v>45754</v>
      </c>
      <c r="X36" s="72">
        <v>45750</v>
      </c>
      <c r="Y36"/>
      <c r="Z36"/>
      <c r="AA36" t="s">
        <v>131</v>
      </c>
      <c r="AB36" t="s">
        <v>131</v>
      </c>
      <c r="AC36" t="s">
        <v>131</v>
      </c>
      <c r="AD36" t="s">
        <v>131</v>
      </c>
      <c r="AE36" t="s">
        <v>131</v>
      </c>
      <c r="AF36" t="s">
        <v>131</v>
      </c>
      <c r="AG36" t="s">
        <v>131</v>
      </c>
      <c r="AH36" t="s">
        <v>131</v>
      </c>
      <c r="AI36" t="s">
        <v>131</v>
      </c>
      <c r="AJ36">
        <v>0</v>
      </c>
      <c r="AK36" t="s">
        <v>131</v>
      </c>
      <c r="AL36" t="s">
        <v>132</v>
      </c>
      <c r="AM36" s="16">
        <f>IF(OR(AC36="Yes",K36="Info Request", K36="Side-Project"),0,(NETWORKDAYS(T36,U36,Holidays!A$2:A$13))-1)</f>
        <v>0</v>
      </c>
      <c r="AN36" s="16">
        <f>IF(OR(AC36="Yes",K36="Info Request", K36="Side-Project"),0,(NETWORKDAYS(U36,W36,Holidays!A$2:A$13))-1)</f>
        <v>2</v>
      </c>
      <c r="AO36" s="16">
        <f>IF(OR(V36="none"),0,((NETWORKDAYS(S36,V36,Holidays!A$2:A$13))-1))</f>
        <v>10</v>
      </c>
      <c r="AP36" s="16" t="b">
        <f t="shared" si="3"/>
        <v>0</v>
      </c>
      <c r="AQ36" s="16" t="b">
        <f t="shared" si="4"/>
        <v>1</v>
      </c>
      <c r="AR36" s="60" t="str">
        <f t="shared" si="5"/>
        <v>OK</v>
      </c>
      <c r="AS36" s="60" t="str">
        <f>IF(table_data[[#This Row],[Flagged-Issues]] = 0, "", table_data[[#This Row],[Flagged-Issues]])</f>
        <v/>
      </c>
    </row>
    <row r="37" spans="1:45" x14ac:dyDescent="0.25">
      <c r="A37" t="s">
        <v>29</v>
      </c>
      <c r="B37" t="s">
        <v>154</v>
      </c>
      <c r="C37" t="s">
        <v>122</v>
      </c>
      <c r="D37" s="65">
        <v>202504081541</v>
      </c>
      <c r="E37" t="s">
        <v>200</v>
      </c>
      <c r="F37" t="s">
        <v>124</v>
      </c>
      <c r="G37"/>
      <c r="H37" t="s">
        <v>204</v>
      </c>
      <c r="I37" t="s">
        <v>126</v>
      </c>
      <c r="J37" t="s">
        <v>151</v>
      </c>
      <c r="K37" t="s">
        <v>128</v>
      </c>
      <c r="L37">
        <v>2</v>
      </c>
      <c r="M37" t="s">
        <v>158</v>
      </c>
      <c r="N37">
        <v>4</v>
      </c>
      <c r="O37"/>
      <c r="P37"/>
      <c r="Q37">
        <v>2</v>
      </c>
      <c r="R37"/>
      <c r="S37" s="72">
        <v>45755</v>
      </c>
      <c r="T37" s="72">
        <v>45757</v>
      </c>
      <c r="U37" s="72">
        <v>45757</v>
      </c>
      <c r="V37" s="72" t="s">
        <v>130</v>
      </c>
      <c r="W37" s="72">
        <v>45758</v>
      </c>
      <c r="X37" s="72" t="s">
        <v>130</v>
      </c>
      <c r="Y37" t="s">
        <v>146</v>
      </c>
      <c r="Z37" t="s">
        <v>147</v>
      </c>
      <c r="AA37" t="s">
        <v>131</v>
      </c>
      <c r="AB37" t="s">
        <v>131</v>
      </c>
      <c r="AC37" t="s">
        <v>131</v>
      </c>
      <c r="AD37" t="s">
        <v>131</v>
      </c>
      <c r="AE37" t="s">
        <v>131</v>
      </c>
      <c r="AF37" t="s">
        <v>131</v>
      </c>
      <c r="AG37" t="s">
        <v>131</v>
      </c>
      <c r="AH37" t="s">
        <v>131</v>
      </c>
      <c r="AI37" t="s">
        <v>131</v>
      </c>
      <c r="AJ37">
        <v>0</v>
      </c>
      <c r="AK37" t="s">
        <v>131</v>
      </c>
      <c r="AL37" t="s">
        <v>148</v>
      </c>
      <c r="AM37" s="16">
        <f>IF(OR(AC37="Yes",K37="Info Request", K37="Side-Project"),0,(NETWORKDAYS(T37,U37,Holidays!A$2:A$13))-1)</f>
        <v>0</v>
      </c>
      <c r="AN37" s="16">
        <f>IF(OR(AC37="Yes",K37="Info Request", K37="Side-Project"),0,(NETWORKDAYS(U37,W37,Holidays!A$2:A$13))-1)</f>
        <v>1</v>
      </c>
      <c r="AO37" s="16">
        <f>IF(OR(V37="none"),0,((NETWORKDAYS(S37,V37,Holidays!A$2:A$13))-1))</f>
        <v>0</v>
      </c>
      <c r="AP37" s="16" t="b">
        <f t="shared" si="3"/>
        <v>1</v>
      </c>
      <c r="AQ37" s="16" t="b">
        <f t="shared" si="4"/>
        <v>1</v>
      </c>
      <c r="AR37" s="60" t="str">
        <f t="shared" si="5"/>
        <v>OK</v>
      </c>
      <c r="AS37" s="60" t="str">
        <f>IF(table_data[[#This Row],[Flagged-Issues]] = 0, "", table_data[[#This Row],[Flagged-Issues]])</f>
        <v/>
      </c>
    </row>
    <row r="38" spans="1:45" x14ac:dyDescent="0.25">
      <c r="A38" t="s">
        <v>29</v>
      </c>
      <c r="B38" t="s">
        <v>154</v>
      </c>
      <c r="C38" t="s">
        <v>122</v>
      </c>
      <c r="D38" s="65">
        <v>202504161019</v>
      </c>
      <c r="E38" t="s">
        <v>200</v>
      </c>
      <c r="F38" t="s">
        <v>124</v>
      </c>
      <c r="G38"/>
      <c r="H38" t="s">
        <v>205</v>
      </c>
      <c r="I38" t="s">
        <v>126</v>
      </c>
      <c r="J38" t="s">
        <v>206</v>
      </c>
      <c r="K38" t="s">
        <v>207</v>
      </c>
      <c r="L38">
        <v>2</v>
      </c>
      <c r="M38" t="s">
        <v>137</v>
      </c>
      <c r="N38"/>
      <c r="O38"/>
      <c r="P38"/>
      <c r="Q38">
        <v>1</v>
      </c>
      <c r="R38"/>
      <c r="S38" s="72">
        <v>45763</v>
      </c>
      <c r="T38" s="72">
        <v>45770</v>
      </c>
      <c r="U38" s="72">
        <v>45770</v>
      </c>
      <c r="V38" s="72" t="s">
        <v>130</v>
      </c>
      <c r="W38" s="72">
        <v>45771</v>
      </c>
      <c r="X38" s="72" t="s">
        <v>130</v>
      </c>
      <c r="Y38"/>
      <c r="Z38"/>
      <c r="AA38" t="s">
        <v>131</v>
      </c>
      <c r="AB38" t="s">
        <v>131</v>
      </c>
      <c r="AC38" t="s">
        <v>131</v>
      </c>
      <c r="AD38" t="s">
        <v>131</v>
      </c>
      <c r="AE38" t="s">
        <v>131</v>
      </c>
      <c r="AF38" t="s">
        <v>131</v>
      </c>
      <c r="AG38" t="s">
        <v>131</v>
      </c>
      <c r="AH38" t="s">
        <v>131</v>
      </c>
      <c r="AI38" t="s">
        <v>131</v>
      </c>
      <c r="AJ38">
        <v>0</v>
      </c>
      <c r="AK38" t="s">
        <v>131</v>
      </c>
      <c r="AL38" t="s">
        <v>132</v>
      </c>
      <c r="AM38" s="16">
        <f>IF(OR(AC38="Yes",K38="Info Request", K38="Side-Project"),0,(NETWORKDAYS(T38,U38,Holidays!A$2:A$13))-1)</f>
        <v>0</v>
      </c>
      <c r="AN38" s="16">
        <f>IF(OR(AC38="Yes",K38="Info Request", K38="Side-Project"),0,(NETWORKDAYS(U38,W38,Holidays!A$2:A$13))-1)</f>
        <v>1</v>
      </c>
      <c r="AO38" s="16">
        <f>IF(OR(V38="none"),0,((NETWORKDAYS(S38,V38,Holidays!A$2:A$13))-1))</f>
        <v>0</v>
      </c>
      <c r="AP38" s="16" t="b">
        <f t="shared" si="3"/>
        <v>1</v>
      </c>
      <c r="AQ38" s="16" t="b">
        <f t="shared" si="4"/>
        <v>1</v>
      </c>
      <c r="AR38" s="60" t="str">
        <f t="shared" si="5"/>
        <v>OK</v>
      </c>
      <c r="AS38" s="60" t="str">
        <f>IF(table_data[[#This Row],[Flagged-Issues]] = 0, "", table_data[[#This Row],[Flagged-Issues]])</f>
        <v/>
      </c>
    </row>
    <row r="39" spans="1:45" x14ac:dyDescent="0.25">
      <c r="A39" t="s">
        <v>29</v>
      </c>
      <c r="B39" t="s">
        <v>154</v>
      </c>
      <c r="C39" t="s">
        <v>122</v>
      </c>
      <c r="D39" s="65">
        <v>202504281108</v>
      </c>
      <c r="E39" t="s">
        <v>200</v>
      </c>
      <c r="F39" t="s">
        <v>124</v>
      </c>
      <c r="G39"/>
      <c r="H39" t="s">
        <v>208</v>
      </c>
      <c r="I39" t="s">
        <v>126</v>
      </c>
      <c r="J39" t="s">
        <v>151</v>
      </c>
      <c r="K39" t="s">
        <v>128</v>
      </c>
      <c r="L39">
        <v>2</v>
      </c>
      <c r="M39" t="s">
        <v>158</v>
      </c>
      <c r="N39">
        <v>4</v>
      </c>
      <c r="O39"/>
      <c r="P39"/>
      <c r="Q39">
        <v>2</v>
      </c>
      <c r="R39"/>
      <c r="S39" s="72">
        <v>45775</v>
      </c>
      <c r="T39" s="72">
        <v>45775</v>
      </c>
      <c r="U39" s="72">
        <v>45776</v>
      </c>
      <c r="V39" s="72" t="s">
        <v>130</v>
      </c>
      <c r="W39" s="72">
        <v>45777</v>
      </c>
      <c r="X39" s="72" t="s">
        <v>130</v>
      </c>
      <c r="Y39"/>
      <c r="Z39"/>
      <c r="AA39" t="s">
        <v>131</v>
      </c>
      <c r="AB39" t="s">
        <v>131</v>
      </c>
      <c r="AC39" t="s">
        <v>131</v>
      </c>
      <c r="AD39" t="s">
        <v>131</v>
      </c>
      <c r="AE39" t="s">
        <v>131</v>
      </c>
      <c r="AF39" t="s">
        <v>131</v>
      </c>
      <c r="AG39" t="s">
        <v>131</v>
      </c>
      <c r="AH39" t="s">
        <v>131</v>
      </c>
      <c r="AI39" t="s">
        <v>131</v>
      </c>
      <c r="AJ39">
        <v>0</v>
      </c>
      <c r="AK39" t="s">
        <v>131</v>
      </c>
      <c r="AL39" t="s">
        <v>132</v>
      </c>
      <c r="AM39" s="16">
        <f>IF(OR(AC39="Yes",K39="Info Request", K39="Side-Project"),0,(NETWORKDAYS(T39,U39,Holidays!A$2:A$13))-1)</f>
        <v>1</v>
      </c>
      <c r="AN39" s="16">
        <f>IF(OR(AC39="Yes",K39="Info Request", K39="Side-Project"),0,(NETWORKDAYS(U39,W39,Holidays!A$2:A$13))-1)</f>
        <v>1</v>
      </c>
      <c r="AO39" s="16">
        <f>IF(OR(V39="none"),0,((NETWORKDAYS(S39,V39,Holidays!A$2:A$13))-1))</f>
        <v>0</v>
      </c>
      <c r="AP39" s="16" t="b">
        <f t="shared" si="3"/>
        <v>1</v>
      </c>
      <c r="AQ39" s="16" t="b">
        <f t="shared" si="4"/>
        <v>1</v>
      </c>
      <c r="AR39" s="60" t="str">
        <f t="shared" si="5"/>
        <v>OK</v>
      </c>
      <c r="AS39" s="60" t="str">
        <f>IF(table_data[[#This Row],[Flagged-Issues]] = 0, "", table_data[[#This Row],[Flagged-Issues]])</f>
        <v/>
      </c>
    </row>
    <row r="40" spans="1:45" x14ac:dyDescent="0.25">
      <c r="A40" t="s">
        <v>29</v>
      </c>
      <c r="B40" t="s">
        <v>154</v>
      </c>
      <c r="C40" t="s">
        <v>122</v>
      </c>
      <c r="D40" s="65">
        <v>202504221426</v>
      </c>
      <c r="E40" t="s">
        <v>193</v>
      </c>
      <c r="F40" t="s">
        <v>173</v>
      </c>
      <c r="G40"/>
      <c r="H40" t="s">
        <v>209</v>
      </c>
      <c r="I40" t="s">
        <v>126</v>
      </c>
      <c r="J40" t="s">
        <v>151</v>
      </c>
      <c r="K40" t="s">
        <v>128</v>
      </c>
      <c r="L40">
        <v>2</v>
      </c>
      <c r="M40" t="s">
        <v>158</v>
      </c>
      <c r="N40">
        <v>6</v>
      </c>
      <c r="O40"/>
      <c r="P40"/>
      <c r="Q40"/>
      <c r="R40"/>
      <c r="S40" s="72">
        <v>45769</v>
      </c>
      <c r="T40" s="72">
        <v>45770</v>
      </c>
      <c r="U40" s="72">
        <v>45770</v>
      </c>
      <c r="V40" s="72" t="s">
        <v>130</v>
      </c>
      <c r="W40" s="72">
        <v>45777</v>
      </c>
      <c r="X40" s="72" t="s">
        <v>130</v>
      </c>
      <c r="Y40"/>
      <c r="Z40"/>
      <c r="AA40" t="s">
        <v>131</v>
      </c>
      <c r="AB40" t="s">
        <v>131</v>
      </c>
      <c r="AC40" t="s">
        <v>131</v>
      </c>
      <c r="AD40" t="s">
        <v>131</v>
      </c>
      <c r="AE40" t="s">
        <v>131</v>
      </c>
      <c r="AF40" t="s">
        <v>131</v>
      </c>
      <c r="AG40" t="s">
        <v>131</v>
      </c>
      <c r="AH40" t="s">
        <v>131</v>
      </c>
      <c r="AI40" t="s">
        <v>132</v>
      </c>
      <c r="AJ40">
        <v>0</v>
      </c>
      <c r="AK40" t="s">
        <v>131</v>
      </c>
      <c r="AL40" t="s">
        <v>132</v>
      </c>
      <c r="AM40" s="16">
        <f>IF(OR(AC40="Yes",K40="Info Request", K40="Side-Project"),0,(NETWORKDAYS(T40,U40,Holidays!A$2:A$13))-1)</f>
        <v>0</v>
      </c>
      <c r="AN40" s="16">
        <f>IF(OR(AC40="Yes",K40="Info Request", K40="Side-Project"),0,(NETWORKDAYS(U40,W40,Holidays!A$2:A$13))-1)</f>
        <v>5</v>
      </c>
      <c r="AO40" s="16">
        <f>IF(OR(V40="none"),0,((NETWORKDAYS(S40,V40,Holidays!A$2:A$13))-1))</f>
        <v>0</v>
      </c>
      <c r="AP40" s="16" t="b">
        <f t="shared" si="3"/>
        <v>1</v>
      </c>
      <c r="AQ40" s="16" t="b">
        <f t="shared" si="4"/>
        <v>1</v>
      </c>
      <c r="AR40" s="60" t="str">
        <f t="shared" si="5"/>
        <v>OK</v>
      </c>
      <c r="AS40" s="60" t="str">
        <f>IF(table_data[[#This Row],[Flagged-Issues]] = 0, "", table_data[[#This Row],[Flagged-Issues]])</f>
        <v/>
      </c>
    </row>
    <row r="41" spans="1:45" x14ac:dyDescent="0.25">
      <c r="A41" t="s">
        <v>104</v>
      </c>
      <c r="B41" t="s">
        <v>121</v>
      </c>
      <c r="C41" t="s">
        <v>122</v>
      </c>
      <c r="D41" s="65">
        <v>202504151419</v>
      </c>
      <c r="E41" t="s">
        <v>210</v>
      </c>
      <c r="F41" t="s">
        <v>134</v>
      </c>
      <c r="G41" t="s">
        <v>211</v>
      </c>
      <c r="H41" t="s">
        <v>212</v>
      </c>
      <c r="I41" t="s">
        <v>126</v>
      </c>
      <c r="J41" t="s">
        <v>151</v>
      </c>
      <c r="K41" t="s">
        <v>128</v>
      </c>
      <c r="L41">
        <v>2</v>
      </c>
      <c r="M41" t="s">
        <v>141</v>
      </c>
      <c r="N41">
        <v>4</v>
      </c>
      <c r="O41"/>
      <c r="P41"/>
      <c r="Q41"/>
      <c r="R41">
        <v>2</v>
      </c>
      <c r="S41" s="72">
        <v>45762</v>
      </c>
      <c r="T41" s="72">
        <v>45763</v>
      </c>
      <c r="U41" s="72">
        <v>45763</v>
      </c>
      <c r="V41" s="72" t="s">
        <v>130</v>
      </c>
      <c r="W41" s="72">
        <v>45763</v>
      </c>
      <c r="X41" s="72" t="s">
        <v>130</v>
      </c>
      <c r="Y41"/>
      <c r="Z41"/>
      <c r="AA41" t="s">
        <v>131</v>
      </c>
      <c r="AB41" t="s">
        <v>132</v>
      </c>
      <c r="AC41" t="s">
        <v>131</v>
      </c>
      <c r="AD41" t="s">
        <v>131</v>
      </c>
      <c r="AE41" t="s">
        <v>131</v>
      </c>
      <c r="AF41" t="s">
        <v>131</v>
      </c>
      <c r="AG41" t="s">
        <v>131</v>
      </c>
      <c r="AH41" t="s">
        <v>131</v>
      </c>
      <c r="AI41" t="s">
        <v>132</v>
      </c>
      <c r="AJ41">
        <v>0</v>
      </c>
      <c r="AK41" t="s">
        <v>131</v>
      </c>
      <c r="AL41" t="s">
        <v>132</v>
      </c>
      <c r="AM41" s="16">
        <f>IF(OR(AC41="Yes",K41="Info Request", K41="Side-Project"),0,(NETWORKDAYS(T41,U41,Holidays!A$2:A$13))-1)</f>
        <v>0</v>
      </c>
      <c r="AN41" s="16">
        <f>IF(OR(AC41="Yes",K41="Info Request", K41="Side-Project"),0,(NETWORKDAYS(U41,W41,Holidays!A$2:A$13))-1)</f>
        <v>0</v>
      </c>
      <c r="AO41" s="16">
        <f>IF(OR(V41="none"),0,((NETWORKDAYS(S41,V41,Holidays!A$2:A$13))-1))</f>
        <v>0</v>
      </c>
      <c r="AP41" s="16" t="b">
        <f t="shared" si="3"/>
        <v>1</v>
      </c>
      <c r="AQ41" s="16" t="b">
        <f t="shared" si="4"/>
        <v>1</v>
      </c>
      <c r="AR41" s="60" t="str">
        <f t="shared" si="5"/>
        <v>OK</v>
      </c>
      <c r="AS41" s="60" t="str">
        <f>IF(table_data[[#This Row],[Flagged-Issues]] = 0, "", table_data[[#This Row],[Flagged-Issues]])</f>
        <v/>
      </c>
    </row>
    <row r="42" spans="1:45" x14ac:dyDescent="0.25">
      <c r="A42" t="s">
        <v>29</v>
      </c>
      <c r="B42" t="s">
        <v>121</v>
      </c>
      <c r="C42" t="s">
        <v>122</v>
      </c>
      <c r="D42" s="65">
        <v>202504170949</v>
      </c>
      <c r="E42" t="s">
        <v>213</v>
      </c>
      <c r="F42" t="s">
        <v>139</v>
      </c>
      <c r="G42"/>
      <c r="H42" t="s">
        <v>214</v>
      </c>
      <c r="I42" t="s">
        <v>126</v>
      </c>
      <c r="J42" t="s">
        <v>151</v>
      </c>
      <c r="K42" t="s">
        <v>128</v>
      </c>
      <c r="L42">
        <v>2</v>
      </c>
      <c r="M42" t="s">
        <v>189</v>
      </c>
      <c r="N42">
        <v>2</v>
      </c>
      <c r="O42"/>
      <c r="P42"/>
      <c r="Q42"/>
      <c r="R42"/>
      <c r="S42" s="72">
        <v>45764</v>
      </c>
      <c r="T42" s="72">
        <v>45770</v>
      </c>
      <c r="U42" s="72">
        <v>45771</v>
      </c>
      <c r="V42" s="72" t="s">
        <v>130</v>
      </c>
      <c r="W42" s="72">
        <v>45771</v>
      </c>
      <c r="X42" s="72" t="s">
        <v>130</v>
      </c>
      <c r="Y42" t="s">
        <v>146</v>
      </c>
      <c r="Z42" t="s">
        <v>147</v>
      </c>
      <c r="AA42" t="s">
        <v>131</v>
      </c>
      <c r="AB42" t="s">
        <v>131</v>
      </c>
      <c r="AC42" t="s">
        <v>131</v>
      </c>
      <c r="AD42" t="s">
        <v>131</v>
      </c>
      <c r="AE42" t="s">
        <v>131</v>
      </c>
      <c r="AF42" t="s">
        <v>131</v>
      </c>
      <c r="AG42" t="s">
        <v>132</v>
      </c>
      <c r="AH42" t="s">
        <v>131</v>
      </c>
      <c r="AI42" t="s">
        <v>131</v>
      </c>
      <c r="AJ42">
        <v>0</v>
      </c>
      <c r="AK42" t="s">
        <v>132</v>
      </c>
      <c r="AL42" t="s">
        <v>131</v>
      </c>
      <c r="AM42" s="16">
        <f>IF(OR(AC42="Yes",K42="Info Request", K42="Side-Project"),0,(NETWORKDAYS(T42,U42,Holidays!A$2:A$13))-1)</f>
        <v>1</v>
      </c>
      <c r="AN42" s="16">
        <f>IF(OR(AC42="Yes",K42="Info Request", K42="Side-Project"),0,(NETWORKDAYS(U42,W42,Holidays!A$2:A$13))-1)</f>
        <v>0</v>
      </c>
      <c r="AO42" s="16">
        <f>IF(OR(V42="none"),0,((NETWORKDAYS(S42,V42,Holidays!A$2:A$13))-1))</f>
        <v>0</v>
      </c>
      <c r="AP42" s="16" t="b">
        <f t="shared" si="3"/>
        <v>1</v>
      </c>
      <c r="AQ42" s="16" t="b">
        <f t="shared" si="4"/>
        <v>1</v>
      </c>
      <c r="AR42" s="60" t="str">
        <f t="shared" si="5"/>
        <v>OK</v>
      </c>
      <c r="AS42" s="60" t="str">
        <f>IF(table_data[[#This Row],[Flagged-Issues]] = 0, "", table_data[[#This Row],[Flagged-Issues]])</f>
        <v/>
      </c>
    </row>
    <row r="43" spans="1:45" x14ac:dyDescent="0.25">
      <c r="A43" t="s">
        <v>29</v>
      </c>
      <c r="B43" t="s">
        <v>121</v>
      </c>
      <c r="C43" t="s">
        <v>122</v>
      </c>
      <c r="D43" s="65">
        <v>202503280844</v>
      </c>
      <c r="E43" t="s">
        <v>215</v>
      </c>
      <c r="F43" t="s">
        <v>173</v>
      </c>
      <c r="G43"/>
      <c r="H43" t="s">
        <v>216</v>
      </c>
      <c r="I43" t="s">
        <v>126</v>
      </c>
      <c r="J43" t="s">
        <v>136</v>
      </c>
      <c r="K43" t="s">
        <v>128</v>
      </c>
      <c r="L43">
        <v>2</v>
      </c>
      <c r="M43" t="s">
        <v>143</v>
      </c>
      <c r="N43">
        <v>2</v>
      </c>
      <c r="O43"/>
      <c r="P43"/>
      <c r="Q43"/>
      <c r="R43"/>
      <c r="S43" s="72">
        <v>45744</v>
      </c>
      <c r="T43" s="72">
        <v>45744</v>
      </c>
      <c r="U43" s="72">
        <v>45744</v>
      </c>
      <c r="V43" s="72" t="s">
        <v>130</v>
      </c>
      <c r="W43" s="72">
        <v>45748</v>
      </c>
      <c r="X43" s="72" t="s">
        <v>130</v>
      </c>
      <c r="Y43"/>
      <c r="Z43"/>
      <c r="AA43" t="s">
        <v>131</v>
      </c>
      <c r="AB43" t="s">
        <v>132</v>
      </c>
      <c r="AC43" t="s">
        <v>131</v>
      </c>
      <c r="AD43" t="s">
        <v>131</v>
      </c>
      <c r="AE43" t="s">
        <v>131</v>
      </c>
      <c r="AF43" t="s">
        <v>131</v>
      </c>
      <c r="AG43" t="s">
        <v>131</v>
      </c>
      <c r="AH43" t="s">
        <v>131</v>
      </c>
      <c r="AI43" t="s">
        <v>131</v>
      </c>
      <c r="AJ43">
        <v>0</v>
      </c>
      <c r="AK43" t="s">
        <v>131</v>
      </c>
      <c r="AL43" t="s">
        <v>132</v>
      </c>
      <c r="AM43" s="16">
        <f>IF(OR(AC43="Yes",K43="Info Request", K43="Side-Project"),0,(NETWORKDAYS(T43,U43,Holidays!A$2:A$13))-1)</f>
        <v>0</v>
      </c>
      <c r="AN43" s="16">
        <f>IF(OR(AC43="Yes",K43="Info Request", K43="Side-Project"),0,(NETWORKDAYS(U43,W43,Holidays!A$2:A$13))-1)</f>
        <v>2</v>
      </c>
      <c r="AO43" s="16">
        <f>IF(OR(V43="none"),0,((NETWORKDAYS(S43,V43,Holidays!A$2:A$13))-1))</f>
        <v>0</v>
      </c>
      <c r="AP43" s="16" t="b">
        <f t="shared" si="3"/>
        <v>1</v>
      </c>
      <c r="AQ43" s="16" t="b">
        <f t="shared" si="4"/>
        <v>1</v>
      </c>
      <c r="AR43" s="60" t="str">
        <f t="shared" si="5"/>
        <v>OK</v>
      </c>
      <c r="AS43" s="60" t="str">
        <f>IF(table_data[[#This Row],[Flagged-Issues]] = 0, "", table_data[[#This Row],[Flagged-Issues]])</f>
        <v/>
      </c>
    </row>
    <row r="44" spans="1:45" x14ac:dyDescent="0.25">
      <c r="A44" t="s">
        <v>104</v>
      </c>
      <c r="B44" t="s">
        <v>121</v>
      </c>
      <c r="C44" t="s">
        <v>122</v>
      </c>
      <c r="D44" s="65">
        <v>202503261016</v>
      </c>
      <c r="E44" t="s">
        <v>217</v>
      </c>
      <c r="F44" t="s">
        <v>134</v>
      </c>
      <c r="G44"/>
      <c r="H44" t="s">
        <v>218</v>
      </c>
      <c r="I44" t="s">
        <v>126</v>
      </c>
      <c r="J44" t="s">
        <v>136</v>
      </c>
      <c r="K44" t="s">
        <v>128</v>
      </c>
      <c r="L44">
        <v>2</v>
      </c>
      <c r="M44" t="s">
        <v>143</v>
      </c>
      <c r="N44">
        <v>2</v>
      </c>
      <c r="O44"/>
      <c r="P44"/>
      <c r="Q44"/>
      <c r="R44"/>
      <c r="S44" s="72">
        <v>45742</v>
      </c>
      <c r="T44" s="72">
        <v>45743</v>
      </c>
      <c r="U44" s="72">
        <v>45743</v>
      </c>
      <c r="V44" s="72" t="s">
        <v>130</v>
      </c>
      <c r="W44" s="72">
        <v>45751</v>
      </c>
      <c r="X44" s="72" t="s">
        <v>130</v>
      </c>
      <c r="Y44"/>
      <c r="Z44"/>
      <c r="AA44" t="s">
        <v>131</v>
      </c>
      <c r="AB44" t="s">
        <v>132</v>
      </c>
      <c r="AC44" t="s">
        <v>131</v>
      </c>
      <c r="AD44" t="s">
        <v>131</v>
      </c>
      <c r="AE44" t="s">
        <v>131</v>
      </c>
      <c r="AF44" t="s">
        <v>131</v>
      </c>
      <c r="AG44" t="s">
        <v>131</v>
      </c>
      <c r="AH44" t="s">
        <v>131</v>
      </c>
      <c r="AI44" t="s">
        <v>131</v>
      </c>
      <c r="AJ44">
        <v>0</v>
      </c>
      <c r="AK44" t="s">
        <v>131</v>
      </c>
      <c r="AL44" t="s">
        <v>132</v>
      </c>
      <c r="AM44" s="16">
        <f>IF(OR(AC44="Yes",K44="Info Request", K44="Side-Project"),0,(NETWORKDAYS(T44,U44,Holidays!A$2:A$13))-1)</f>
        <v>0</v>
      </c>
      <c r="AN44" s="16">
        <f>IF(OR(AC44="Yes",K44="Info Request", K44="Side-Project"),0,(NETWORKDAYS(U44,W44,Holidays!A$2:A$13))-1)</f>
        <v>6</v>
      </c>
      <c r="AO44" s="16">
        <f>IF(OR(V44="none"),0,((NETWORKDAYS(S44,V44,Holidays!A$2:A$13))-1))</f>
        <v>0</v>
      </c>
      <c r="AP44" s="16" t="b">
        <f t="shared" si="3"/>
        <v>1</v>
      </c>
      <c r="AQ44" s="16" t="b">
        <f t="shared" si="4"/>
        <v>1</v>
      </c>
      <c r="AR44" s="60" t="str">
        <f t="shared" si="5"/>
        <v>OK</v>
      </c>
      <c r="AS44" s="60" t="str">
        <f>IF(table_data[[#This Row],[Flagged-Issues]] = 0, "", table_data[[#This Row],[Flagged-Issues]])</f>
        <v/>
      </c>
    </row>
    <row r="45" spans="1:45" x14ac:dyDescent="0.25">
      <c r="A45" t="s">
        <v>104</v>
      </c>
      <c r="B45" t="s">
        <v>121</v>
      </c>
      <c r="C45" t="s">
        <v>122</v>
      </c>
      <c r="D45" s="65">
        <v>202504100922</v>
      </c>
      <c r="E45" t="s">
        <v>133</v>
      </c>
      <c r="F45" t="s">
        <v>134</v>
      </c>
      <c r="G45"/>
      <c r="H45" t="s">
        <v>219</v>
      </c>
      <c r="I45" t="s">
        <v>126</v>
      </c>
      <c r="J45" t="s">
        <v>151</v>
      </c>
      <c r="K45" t="s">
        <v>128</v>
      </c>
      <c r="L45">
        <v>2</v>
      </c>
      <c r="M45" t="s">
        <v>158</v>
      </c>
      <c r="N45">
        <v>1</v>
      </c>
      <c r="O45"/>
      <c r="P45"/>
      <c r="Q45"/>
      <c r="R45"/>
      <c r="S45" s="72">
        <v>45757</v>
      </c>
      <c r="T45" s="72">
        <v>45757</v>
      </c>
      <c r="U45" s="72">
        <v>45757</v>
      </c>
      <c r="V45" s="72" t="s">
        <v>130</v>
      </c>
      <c r="W45" s="72">
        <v>45757</v>
      </c>
      <c r="X45" s="72" t="s">
        <v>130</v>
      </c>
      <c r="Y45"/>
      <c r="Z45"/>
      <c r="AA45" t="s">
        <v>131</v>
      </c>
      <c r="AB45" t="s">
        <v>132</v>
      </c>
      <c r="AC45" t="s">
        <v>131</v>
      </c>
      <c r="AD45" t="s">
        <v>131</v>
      </c>
      <c r="AE45" t="s">
        <v>131</v>
      </c>
      <c r="AF45" t="s">
        <v>131</v>
      </c>
      <c r="AG45" t="s">
        <v>131</v>
      </c>
      <c r="AH45" t="s">
        <v>131</v>
      </c>
      <c r="AI45" t="s">
        <v>131</v>
      </c>
      <c r="AJ45">
        <v>0</v>
      </c>
      <c r="AK45" t="s">
        <v>131</v>
      </c>
      <c r="AL45" t="s">
        <v>132</v>
      </c>
      <c r="AM45" s="16">
        <f>IF(OR(AC45="Yes",K45="Info Request", K45="Side-Project"),0,(NETWORKDAYS(T45,U45,Holidays!A$2:A$13))-1)</f>
        <v>0</v>
      </c>
      <c r="AN45" s="16">
        <f>IF(OR(AC45="Yes",K45="Info Request", K45="Side-Project"),0,(NETWORKDAYS(U45,W45,Holidays!A$2:A$13))-1)</f>
        <v>0</v>
      </c>
      <c r="AO45" s="16">
        <f>IF(OR(V45="none"),0,((NETWORKDAYS(S45,V45,Holidays!A$2:A$13))-1))</f>
        <v>0</v>
      </c>
      <c r="AP45" s="16" t="b">
        <f t="shared" si="3"/>
        <v>1</v>
      </c>
      <c r="AQ45" s="16" t="b">
        <f t="shared" si="4"/>
        <v>1</v>
      </c>
      <c r="AR45" s="60" t="str">
        <f t="shared" si="5"/>
        <v>OK</v>
      </c>
      <c r="AS45" s="60" t="str">
        <f>IF(table_data[[#This Row],[Flagged-Issues]] = 0, "", table_data[[#This Row],[Flagged-Issues]])</f>
        <v/>
      </c>
    </row>
    <row r="46" spans="1:45" x14ac:dyDescent="0.25">
      <c r="A46" t="s">
        <v>104</v>
      </c>
      <c r="B46" t="s">
        <v>121</v>
      </c>
      <c r="C46" t="s">
        <v>122</v>
      </c>
      <c r="D46" s="65">
        <v>202504111340</v>
      </c>
      <c r="E46" t="s">
        <v>220</v>
      </c>
      <c r="F46" t="s">
        <v>134</v>
      </c>
      <c r="G46"/>
      <c r="H46" t="s">
        <v>221</v>
      </c>
      <c r="I46" t="s">
        <v>126</v>
      </c>
      <c r="J46" t="s">
        <v>136</v>
      </c>
      <c r="K46" t="s">
        <v>128</v>
      </c>
      <c r="L46">
        <v>2</v>
      </c>
      <c r="M46" t="s">
        <v>162</v>
      </c>
      <c r="N46">
        <v>1</v>
      </c>
      <c r="O46"/>
      <c r="P46"/>
      <c r="Q46"/>
      <c r="R46"/>
      <c r="S46" s="72">
        <v>45758</v>
      </c>
      <c r="T46" s="72">
        <v>45758</v>
      </c>
      <c r="U46" s="72">
        <v>45758</v>
      </c>
      <c r="V46" s="72" t="s">
        <v>130</v>
      </c>
      <c r="W46" s="72">
        <v>45758</v>
      </c>
      <c r="X46" s="72" t="s">
        <v>130</v>
      </c>
      <c r="Y46"/>
      <c r="Z46"/>
      <c r="AA46" t="s">
        <v>131</v>
      </c>
      <c r="AB46" t="s">
        <v>132</v>
      </c>
      <c r="AC46" t="s">
        <v>131</v>
      </c>
      <c r="AD46" t="s">
        <v>131</v>
      </c>
      <c r="AE46" t="s">
        <v>131</v>
      </c>
      <c r="AF46" t="s">
        <v>131</v>
      </c>
      <c r="AG46" t="s">
        <v>131</v>
      </c>
      <c r="AH46" t="s">
        <v>131</v>
      </c>
      <c r="AI46" t="s">
        <v>131</v>
      </c>
      <c r="AJ46">
        <v>0</v>
      </c>
      <c r="AK46" t="s">
        <v>131</v>
      </c>
      <c r="AL46" t="s">
        <v>132</v>
      </c>
      <c r="AM46" s="16">
        <f>IF(OR(AC46="Yes",K46="Info Request", K46="Side-Project"),0,(NETWORKDAYS(T46,U46,Holidays!A$2:A$13))-1)</f>
        <v>0</v>
      </c>
      <c r="AN46" s="16">
        <f>IF(OR(AC46="Yes",K46="Info Request", K46="Side-Project"),0,(NETWORKDAYS(U46,W46,Holidays!A$2:A$13))-1)</f>
        <v>0</v>
      </c>
      <c r="AO46" s="16">
        <f>IF(OR(V46="none"),0,((NETWORKDAYS(S46,V46,Holidays!A$2:A$13))-1))</f>
        <v>0</v>
      </c>
      <c r="AP46" s="16" t="b">
        <f t="shared" si="3"/>
        <v>1</v>
      </c>
      <c r="AQ46" s="16" t="b">
        <f t="shared" si="4"/>
        <v>1</v>
      </c>
      <c r="AR46" s="60" t="str">
        <f t="shared" si="5"/>
        <v>OK</v>
      </c>
      <c r="AS46" s="60" t="str">
        <f>IF(table_data[[#This Row],[Flagged-Issues]] = 0, "", table_data[[#This Row],[Flagged-Issues]])</f>
        <v/>
      </c>
    </row>
    <row r="47" spans="1:45" x14ac:dyDescent="0.25">
      <c r="A47" t="s">
        <v>104</v>
      </c>
      <c r="B47" t="s">
        <v>121</v>
      </c>
      <c r="C47" t="s">
        <v>122</v>
      </c>
      <c r="D47" s="65">
        <v>202504110836</v>
      </c>
      <c r="E47" t="s">
        <v>217</v>
      </c>
      <c r="F47" t="s">
        <v>134</v>
      </c>
      <c r="G47"/>
      <c r="H47" t="s">
        <v>222</v>
      </c>
      <c r="I47" t="s">
        <v>126</v>
      </c>
      <c r="J47" t="s">
        <v>151</v>
      </c>
      <c r="K47" t="s">
        <v>128</v>
      </c>
      <c r="L47">
        <v>2</v>
      </c>
      <c r="M47" t="s">
        <v>158</v>
      </c>
      <c r="N47">
        <v>2</v>
      </c>
      <c r="O47"/>
      <c r="P47"/>
      <c r="Q47"/>
      <c r="R47"/>
      <c r="S47" s="72">
        <v>45758</v>
      </c>
      <c r="T47" s="72">
        <v>45758</v>
      </c>
      <c r="U47" s="72">
        <v>45758</v>
      </c>
      <c r="V47" s="72" t="s">
        <v>130</v>
      </c>
      <c r="W47" s="72">
        <v>45761</v>
      </c>
      <c r="X47" s="72" t="s">
        <v>130</v>
      </c>
      <c r="Y47" t="s">
        <v>146</v>
      </c>
      <c r="Z47" t="s">
        <v>147</v>
      </c>
      <c r="AA47" t="s">
        <v>131</v>
      </c>
      <c r="AB47" t="s">
        <v>132</v>
      </c>
      <c r="AC47" t="s">
        <v>131</v>
      </c>
      <c r="AD47" t="s">
        <v>131</v>
      </c>
      <c r="AE47" t="s">
        <v>131</v>
      </c>
      <c r="AF47" t="s">
        <v>131</v>
      </c>
      <c r="AG47" t="s">
        <v>131</v>
      </c>
      <c r="AH47" t="s">
        <v>131</v>
      </c>
      <c r="AI47" t="s">
        <v>132</v>
      </c>
      <c r="AJ47">
        <v>0</v>
      </c>
      <c r="AK47" t="s">
        <v>131</v>
      </c>
      <c r="AL47" t="s">
        <v>148</v>
      </c>
      <c r="AM47" s="16">
        <f>IF(OR(AC47="Yes",K47="Info Request", K47="Side-Project"),0,(NETWORKDAYS(T47,U47,Holidays!A$2:A$13))-1)</f>
        <v>0</v>
      </c>
      <c r="AN47" s="16">
        <f>IF(OR(AC47="Yes",K47="Info Request", K47="Side-Project"),0,(NETWORKDAYS(U47,W47,Holidays!A$2:A$13))-1)</f>
        <v>1</v>
      </c>
      <c r="AO47" s="16">
        <f>IF(OR(V47="none"),0,((NETWORKDAYS(S47,V47,Holidays!A$2:A$13))-1))</f>
        <v>0</v>
      </c>
      <c r="AP47" s="16" t="b">
        <f t="shared" si="3"/>
        <v>1</v>
      </c>
      <c r="AQ47" s="16" t="b">
        <f t="shared" si="4"/>
        <v>1</v>
      </c>
      <c r="AR47" s="60" t="str">
        <f t="shared" si="5"/>
        <v>OK</v>
      </c>
      <c r="AS47" s="60" t="str">
        <f>IF(table_data[[#This Row],[Flagged-Issues]] = 0, "", table_data[[#This Row],[Flagged-Issues]])</f>
        <v/>
      </c>
    </row>
    <row r="48" spans="1:45" x14ac:dyDescent="0.25">
      <c r="A48" t="s">
        <v>29</v>
      </c>
      <c r="B48" t="s">
        <v>121</v>
      </c>
      <c r="C48" t="s">
        <v>122</v>
      </c>
      <c r="D48" s="65">
        <v>202504111403</v>
      </c>
      <c r="E48" t="s">
        <v>223</v>
      </c>
      <c r="F48" t="s">
        <v>173</v>
      </c>
      <c r="G48"/>
      <c r="H48" t="s">
        <v>224</v>
      </c>
      <c r="I48" t="s">
        <v>126</v>
      </c>
      <c r="J48" t="s">
        <v>151</v>
      </c>
      <c r="K48" t="s">
        <v>128</v>
      </c>
      <c r="L48">
        <v>2</v>
      </c>
      <c r="M48" t="s">
        <v>141</v>
      </c>
      <c r="N48">
        <v>4</v>
      </c>
      <c r="O48"/>
      <c r="P48"/>
      <c r="Q48">
        <v>2</v>
      </c>
      <c r="R48"/>
      <c r="S48" s="72">
        <v>45758</v>
      </c>
      <c r="T48" s="72">
        <v>45758</v>
      </c>
      <c r="U48" s="72">
        <v>45758</v>
      </c>
      <c r="V48" s="72" t="s">
        <v>130</v>
      </c>
      <c r="W48" s="72">
        <v>45758</v>
      </c>
      <c r="X48" s="72" t="s">
        <v>130</v>
      </c>
      <c r="Y48"/>
      <c r="Z48"/>
      <c r="AA48" t="s">
        <v>131</v>
      </c>
      <c r="AB48" t="s">
        <v>132</v>
      </c>
      <c r="AC48" t="s">
        <v>131</v>
      </c>
      <c r="AD48" t="s">
        <v>131</v>
      </c>
      <c r="AE48" t="s">
        <v>131</v>
      </c>
      <c r="AF48" t="s">
        <v>131</v>
      </c>
      <c r="AG48" t="s">
        <v>131</v>
      </c>
      <c r="AH48" t="s">
        <v>131</v>
      </c>
      <c r="AI48" t="s">
        <v>131</v>
      </c>
      <c r="AJ48">
        <v>0</v>
      </c>
      <c r="AK48" t="s">
        <v>131</v>
      </c>
      <c r="AL48" t="s">
        <v>132</v>
      </c>
      <c r="AM48" s="16">
        <f>IF(OR(AC48="Yes",K48="Info Request", K48="Side-Project"),0,(NETWORKDAYS(T48,U48,Holidays!A$2:A$13))-1)</f>
        <v>0</v>
      </c>
      <c r="AN48" s="16">
        <f>IF(OR(AC48="Yes",K48="Info Request", K48="Side-Project"),0,(NETWORKDAYS(U48,W48,Holidays!A$2:A$13))-1)</f>
        <v>0</v>
      </c>
      <c r="AO48" s="16">
        <f>IF(OR(V48="none"),0,((NETWORKDAYS(S48,V48,Holidays!A$2:A$13))-1))</f>
        <v>0</v>
      </c>
      <c r="AP48" s="16" t="b">
        <f t="shared" si="3"/>
        <v>1</v>
      </c>
      <c r="AQ48" s="16" t="b">
        <f t="shared" si="4"/>
        <v>1</v>
      </c>
      <c r="AR48" s="60" t="str">
        <f t="shared" si="5"/>
        <v>OK</v>
      </c>
      <c r="AS48" s="60" t="str">
        <f>IF(table_data[[#This Row],[Flagged-Issues]] = 0, "", table_data[[#This Row],[Flagged-Issues]])</f>
        <v/>
      </c>
    </row>
    <row r="49" spans="1:45" x14ac:dyDescent="0.25">
      <c r="A49" t="s">
        <v>29</v>
      </c>
      <c r="B49" t="s">
        <v>121</v>
      </c>
      <c r="C49" t="s">
        <v>122</v>
      </c>
      <c r="D49" s="65">
        <v>202504141302</v>
      </c>
      <c r="E49" t="s">
        <v>180</v>
      </c>
      <c r="F49" t="s">
        <v>173</v>
      </c>
      <c r="G49"/>
      <c r="H49" t="s">
        <v>225</v>
      </c>
      <c r="I49" t="s">
        <v>126</v>
      </c>
      <c r="J49" t="s">
        <v>145</v>
      </c>
      <c r="K49" t="s">
        <v>128</v>
      </c>
      <c r="L49">
        <v>2</v>
      </c>
      <c r="M49" t="s">
        <v>187</v>
      </c>
      <c r="N49">
        <v>2</v>
      </c>
      <c r="O49">
        <v>2</v>
      </c>
      <c r="P49"/>
      <c r="Q49"/>
      <c r="R49"/>
      <c r="S49" s="72">
        <v>45761</v>
      </c>
      <c r="T49" s="72">
        <v>45761</v>
      </c>
      <c r="U49" s="72">
        <v>45761</v>
      </c>
      <c r="V49" s="72" t="s">
        <v>130</v>
      </c>
      <c r="W49" s="72">
        <v>45763</v>
      </c>
      <c r="X49" s="72" t="s">
        <v>130</v>
      </c>
      <c r="Y49" t="s">
        <v>146</v>
      </c>
      <c r="Z49" t="s">
        <v>147</v>
      </c>
      <c r="AA49" t="s">
        <v>131</v>
      </c>
      <c r="AB49" t="s">
        <v>132</v>
      </c>
      <c r="AC49" t="s">
        <v>131</v>
      </c>
      <c r="AD49" t="s">
        <v>131</v>
      </c>
      <c r="AE49" t="s">
        <v>131</v>
      </c>
      <c r="AF49" t="s">
        <v>131</v>
      </c>
      <c r="AG49" t="s">
        <v>131</v>
      </c>
      <c r="AH49" t="s">
        <v>131</v>
      </c>
      <c r="AI49" t="s">
        <v>132</v>
      </c>
      <c r="AJ49">
        <v>0</v>
      </c>
      <c r="AK49" t="s">
        <v>131</v>
      </c>
      <c r="AL49" t="s">
        <v>148</v>
      </c>
      <c r="AM49" s="16">
        <f>IF(OR(AC49="Yes",K49="Info Request", K49="Side-Project"),0,(NETWORKDAYS(T49,U49,Holidays!A$2:A$13))-1)</f>
        <v>0</v>
      </c>
      <c r="AN49" s="16">
        <f>IF(OR(AC49="Yes",K49="Info Request", K49="Side-Project"),0,(NETWORKDAYS(U49,W49,Holidays!A$2:A$13))-1)</f>
        <v>2</v>
      </c>
      <c r="AO49" s="16">
        <f>IF(OR(V49="none"),0,((NETWORKDAYS(S49,V49,Holidays!A$2:A$13))-1))</f>
        <v>0</v>
      </c>
      <c r="AP49" s="16" t="b">
        <f t="shared" si="3"/>
        <v>1</v>
      </c>
      <c r="AQ49" s="16" t="b">
        <f t="shared" si="4"/>
        <v>1</v>
      </c>
      <c r="AR49" s="60" t="str">
        <f t="shared" si="5"/>
        <v>OK</v>
      </c>
      <c r="AS49" s="60" t="str">
        <f>IF(table_data[[#This Row],[Flagged-Issues]] = 0, "", table_data[[#This Row],[Flagged-Issues]])</f>
        <v/>
      </c>
    </row>
    <row r="50" spans="1:45" x14ac:dyDescent="0.25">
      <c r="A50" t="s">
        <v>104</v>
      </c>
      <c r="B50" t="s">
        <v>121</v>
      </c>
      <c r="C50" t="s">
        <v>122</v>
      </c>
      <c r="D50" s="65">
        <v>202504110938</v>
      </c>
      <c r="E50" t="s">
        <v>198</v>
      </c>
      <c r="F50" t="s">
        <v>134</v>
      </c>
      <c r="G50" t="s">
        <v>226</v>
      </c>
      <c r="H50" t="s">
        <v>227</v>
      </c>
      <c r="I50" t="s">
        <v>126</v>
      </c>
      <c r="J50" t="s">
        <v>136</v>
      </c>
      <c r="K50" t="s">
        <v>128</v>
      </c>
      <c r="L50">
        <v>2</v>
      </c>
      <c r="M50" t="s">
        <v>228</v>
      </c>
      <c r="N50">
        <v>10</v>
      </c>
      <c r="O50"/>
      <c r="P50"/>
      <c r="Q50"/>
      <c r="R50"/>
      <c r="S50" s="72">
        <v>45758</v>
      </c>
      <c r="T50" s="72">
        <v>45761</v>
      </c>
      <c r="U50" s="72">
        <v>45761</v>
      </c>
      <c r="V50" s="72" t="s">
        <v>130</v>
      </c>
      <c r="W50" s="72">
        <v>45761</v>
      </c>
      <c r="X50" s="72" t="s">
        <v>130</v>
      </c>
      <c r="Y50"/>
      <c r="Z50"/>
      <c r="AA50" t="s">
        <v>131</v>
      </c>
      <c r="AB50" t="s">
        <v>131</v>
      </c>
      <c r="AC50" t="s">
        <v>131</v>
      </c>
      <c r="AD50" t="s">
        <v>131</v>
      </c>
      <c r="AE50" t="s">
        <v>131</v>
      </c>
      <c r="AF50" t="s">
        <v>131</v>
      </c>
      <c r="AG50" t="s">
        <v>131</v>
      </c>
      <c r="AH50" t="s">
        <v>131</v>
      </c>
      <c r="AI50" t="s">
        <v>131</v>
      </c>
      <c r="AJ50">
        <v>0</v>
      </c>
      <c r="AK50" t="s">
        <v>131</v>
      </c>
      <c r="AL50" t="s">
        <v>132</v>
      </c>
      <c r="AM50" s="16">
        <f>IF(OR(AC50="Yes",K50="Info Request", K50="Side-Project"),0,(NETWORKDAYS(T50,U50,Holidays!A$2:A$13))-1)</f>
        <v>0</v>
      </c>
      <c r="AN50" s="16">
        <f>IF(OR(AC50="Yes",K50="Info Request", K50="Side-Project"),0,(NETWORKDAYS(U50,W50,Holidays!A$2:A$13))-1)</f>
        <v>0</v>
      </c>
      <c r="AO50" s="16">
        <f>IF(OR(V50="none"),0,((NETWORKDAYS(S50,V50,Holidays!A$2:A$13))-1))</f>
        <v>0</v>
      </c>
      <c r="AP50" s="16" t="b">
        <f t="shared" si="3"/>
        <v>1</v>
      </c>
      <c r="AQ50" s="16" t="b">
        <f t="shared" si="4"/>
        <v>1</v>
      </c>
      <c r="AR50" s="60" t="str">
        <f t="shared" si="5"/>
        <v>OK</v>
      </c>
      <c r="AS50" s="60" t="str">
        <f>IF(table_data[[#This Row],[Flagged-Issues]] = 0, "", table_data[[#This Row],[Flagged-Issues]])</f>
        <v/>
      </c>
    </row>
    <row r="51" spans="1:45" x14ac:dyDescent="0.25">
      <c r="A51" t="s">
        <v>104</v>
      </c>
      <c r="B51" t="s">
        <v>121</v>
      </c>
      <c r="C51" t="s">
        <v>122</v>
      </c>
      <c r="D51" s="65">
        <v>202504150935</v>
      </c>
      <c r="E51" t="s">
        <v>220</v>
      </c>
      <c r="F51" t="s">
        <v>134</v>
      </c>
      <c r="G51"/>
      <c r="H51" t="s">
        <v>229</v>
      </c>
      <c r="I51" t="s">
        <v>126</v>
      </c>
      <c r="J51" t="s">
        <v>151</v>
      </c>
      <c r="K51" t="s">
        <v>128</v>
      </c>
      <c r="L51">
        <v>2</v>
      </c>
      <c r="M51" t="s">
        <v>158</v>
      </c>
      <c r="N51">
        <v>2</v>
      </c>
      <c r="O51"/>
      <c r="P51"/>
      <c r="Q51">
        <v>1</v>
      </c>
      <c r="R51"/>
      <c r="S51" s="72">
        <v>45762</v>
      </c>
      <c r="T51" s="72">
        <v>45762</v>
      </c>
      <c r="U51" s="72">
        <v>45762</v>
      </c>
      <c r="V51" s="72" t="s">
        <v>130</v>
      </c>
      <c r="W51" s="72">
        <v>45762</v>
      </c>
      <c r="X51" s="72" t="s">
        <v>130</v>
      </c>
      <c r="Y51" t="s">
        <v>146</v>
      </c>
      <c r="Z51" t="s">
        <v>147</v>
      </c>
      <c r="AA51" t="s">
        <v>131</v>
      </c>
      <c r="AB51" t="s">
        <v>132</v>
      </c>
      <c r="AC51" t="s">
        <v>131</v>
      </c>
      <c r="AD51" t="s">
        <v>131</v>
      </c>
      <c r="AE51" t="s">
        <v>131</v>
      </c>
      <c r="AF51" t="s">
        <v>131</v>
      </c>
      <c r="AG51" t="s">
        <v>131</v>
      </c>
      <c r="AH51" t="s">
        <v>131</v>
      </c>
      <c r="AI51" t="s">
        <v>131</v>
      </c>
      <c r="AJ51">
        <v>0</v>
      </c>
      <c r="AK51" t="s">
        <v>131</v>
      </c>
      <c r="AL51" t="s">
        <v>148</v>
      </c>
      <c r="AM51" s="16">
        <f>IF(OR(AC51="Yes",K51="Info Request", K51="Side-Project"),0,(NETWORKDAYS(T51,U51,Holidays!A$2:A$13))-1)</f>
        <v>0</v>
      </c>
      <c r="AN51" s="16">
        <f>IF(OR(AC51="Yes",K51="Info Request", K51="Side-Project"),0,(NETWORKDAYS(U51,W51,Holidays!A$2:A$13))-1)</f>
        <v>0</v>
      </c>
      <c r="AO51" s="16">
        <f>IF(OR(V51="none"),0,((NETWORKDAYS(S51,V51,Holidays!A$2:A$13))-1))</f>
        <v>0</v>
      </c>
      <c r="AP51" s="16" t="b">
        <f t="shared" si="3"/>
        <v>1</v>
      </c>
      <c r="AQ51" s="16" t="b">
        <f t="shared" si="4"/>
        <v>1</v>
      </c>
      <c r="AR51" s="60" t="str">
        <f t="shared" si="5"/>
        <v>OK</v>
      </c>
      <c r="AS51" s="60" t="str">
        <f>IF(table_data[[#This Row],[Flagged-Issues]] = 0, "", table_data[[#This Row],[Flagged-Issues]])</f>
        <v/>
      </c>
    </row>
    <row r="52" spans="1:45" x14ac:dyDescent="0.25">
      <c r="A52" t="s">
        <v>29</v>
      </c>
      <c r="B52" t="s">
        <v>154</v>
      </c>
      <c r="C52" t="s">
        <v>122</v>
      </c>
      <c r="D52" s="65">
        <v>202504140855</v>
      </c>
      <c r="E52" t="s">
        <v>230</v>
      </c>
      <c r="F52" t="s">
        <v>231</v>
      </c>
      <c r="G52"/>
      <c r="H52" t="s">
        <v>232</v>
      </c>
      <c r="I52" t="s">
        <v>126</v>
      </c>
      <c r="J52" t="s">
        <v>136</v>
      </c>
      <c r="K52" t="s">
        <v>128</v>
      </c>
      <c r="L52">
        <v>2</v>
      </c>
      <c r="M52" t="s">
        <v>137</v>
      </c>
      <c r="N52">
        <v>2</v>
      </c>
      <c r="O52"/>
      <c r="P52"/>
      <c r="Q52"/>
      <c r="R52"/>
      <c r="S52" s="72">
        <v>45761</v>
      </c>
      <c r="T52" s="72">
        <v>45761</v>
      </c>
      <c r="U52" s="72">
        <v>45761</v>
      </c>
      <c r="V52" s="72" t="s">
        <v>130</v>
      </c>
      <c r="W52" s="72">
        <v>45761</v>
      </c>
      <c r="X52" s="72" t="s">
        <v>130</v>
      </c>
      <c r="Y52"/>
      <c r="Z52"/>
      <c r="AA52" t="s">
        <v>131</v>
      </c>
      <c r="AB52" t="s">
        <v>131</v>
      </c>
      <c r="AC52" t="s">
        <v>131</v>
      </c>
      <c r="AD52" t="s">
        <v>131</v>
      </c>
      <c r="AE52" t="s">
        <v>131</v>
      </c>
      <c r="AF52" t="s">
        <v>131</v>
      </c>
      <c r="AG52" t="s">
        <v>131</v>
      </c>
      <c r="AH52" t="s">
        <v>131</v>
      </c>
      <c r="AI52" t="s">
        <v>131</v>
      </c>
      <c r="AJ52">
        <v>0</v>
      </c>
      <c r="AK52" t="s">
        <v>131</v>
      </c>
      <c r="AL52" t="s">
        <v>132</v>
      </c>
      <c r="AM52" s="16">
        <f>IF(OR(AC52="Yes",K52="Info Request", K52="Side-Project"),0,(NETWORKDAYS(T52,U52,Holidays!A$2:A$13))-1)</f>
        <v>0</v>
      </c>
      <c r="AN52" s="16">
        <f>IF(OR(AC52="Yes",K52="Info Request", K52="Side-Project"),0,(NETWORKDAYS(U52,W52,Holidays!A$2:A$13))-1)</f>
        <v>0</v>
      </c>
      <c r="AO52" s="16">
        <f>IF(OR(V52="none"),0,((NETWORKDAYS(S52,V52,Holidays!A$2:A$13))-1))</f>
        <v>0</v>
      </c>
      <c r="AP52" s="16" t="b">
        <f t="shared" si="3"/>
        <v>1</v>
      </c>
      <c r="AQ52" s="16" t="b">
        <f t="shared" si="4"/>
        <v>1</v>
      </c>
      <c r="AR52" s="60" t="str">
        <f t="shared" si="5"/>
        <v>OK</v>
      </c>
      <c r="AS52" s="60" t="str">
        <f>IF(table_data[[#This Row],[Flagged-Issues]] = 0, "", table_data[[#This Row],[Flagged-Issues]])</f>
        <v/>
      </c>
    </row>
    <row r="53" spans="1:45" x14ac:dyDescent="0.25">
      <c r="A53" t="s">
        <v>104</v>
      </c>
      <c r="B53" t="s">
        <v>121</v>
      </c>
      <c r="C53" t="s">
        <v>122</v>
      </c>
      <c r="D53" s="65">
        <v>202504160901</v>
      </c>
      <c r="E53" t="s">
        <v>233</v>
      </c>
      <c r="F53" t="s">
        <v>134</v>
      </c>
      <c r="G53"/>
      <c r="H53" t="s">
        <v>234</v>
      </c>
      <c r="I53" t="s">
        <v>126</v>
      </c>
      <c r="J53" t="s">
        <v>151</v>
      </c>
      <c r="K53" t="s">
        <v>128</v>
      </c>
      <c r="L53">
        <v>2</v>
      </c>
      <c r="M53" t="s">
        <v>189</v>
      </c>
      <c r="N53">
        <v>4</v>
      </c>
      <c r="O53"/>
      <c r="P53"/>
      <c r="Q53"/>
      <c r="R53"/>
      <c r="S53" s="72">
        <v>45763</v>
      </c>
      <c r="T53" s="72">
        <v>45763</v>
      </c>
      <c r="U53" s="72">
        <v>45763</v>
      </c>
      <c r="V53" s="72" t="s">
        <v>130</v>
      </c>
      <c r="W53" s="72">
        <v>45764</v>
      </c>
      <c r="X53" s="72" t="s">
        <v>130</v>
      </c>
      <c r="Y53" t="s">
        <v>146</v>
      </c>
      <c r="Z53" t="s">
        <v>147</v>
      </c>
      <c r="AA53" t="s">
        <v>131</v>
      </c>
      <c r="AB53" t="s">
        <v>132</v>
      </c>
      <c r="AC53" t="s">
        <v>131</v>
      </c>
      <c r="AD53" t="s">
        <v>131</v>
      </c>
      <c r="AE53" t="s">
        <v>131</v>
      </c>
      <c r="AF53" t="s">
        <v>131</v>
      </c>
      <c r="AG53" t="s">
        <v>131</v>
      </c>
      <c r="AH53" t="s">
        <v>131</v>
      </c>
      <c r="AI53" t="s">
        <v>132</v>
      </c>
      <c r="AJ53">
        <v>0</v>
      </c>
      <c r="AK53" t="s">
        <v>131</v>
      </c>
      <c r="AL53" t="s">
        <v>148</v>
      </c>
      <c r="AM53" s="16">
        <f>IF(OR(AC53="Yes",K53="Info Request", K53="Side-Project"),0,(NETWORKDAYS(T53,U53,Holidays!A$2:A$13))-1)</f>
        <v>0</v>
      </c>
      <c r="AN53" s="16">
        <f>IF(OR(AC53="Yes",K53="Info Request", K53="Side-Project"),0,(NETWORKDAYS(U53,W53,Holidays!A$2:A$13))-1)</f>
        <v>1</v>
      </c>
      <c r="AO53" s="16">
        <f>IF(OR(V53="none"),0,((NETWORKDAYS(S53,V53,Holidays!A$2:A$13))-1))</f>
        <v>0</v>
      </c>
      <c r="AP53" s="16" t="b">
        <f t="shared" si="3"/>
        <v>1</v>
      </c>
      <c r="AQ53" s="16" t="b">
        <f t="shared" si="4"/>
        <v>1</v>
      </c>
      <c r="AR53" s="60" t="str">
        <f t="shared" si="5"/>
        <v>OK</v>
      </c>
      <c r="AS53" s="60" t="str">
        <f>IF(table_data[[#This Row],[Flagged-Issues]] = 0, "", table_data[[#This Row],[Flagged-Issues]])</f>
        <v/>
      </c>
    </row>
    <row r="54" spans="1:45" x14ac:dyDescent="0.25">
      <c r="A54" t="s">
        <v>104</v>
      </c>
      <c r="B54" t="s">
        <v>121</v>
      </c>
      <c r="C54" t="s">
        <v>122</v>
      </c>
      <c r="D54" s="65">
        <v>202503311143</v>
      </c>
      <c r="E54" t="s">
        <v>198</v>
      </c>
      <c r="F54" t="s">
        <v>134</v>
      </c>
      <c r="G54"/>
      <c r="H54" t="s">
        <v>235</v>
      </c>
      <c r="I54" t="s">
        <v>126</v>
      </c>
      <c r="J54" t="s">
        <v>136</v>
      </c>
      <c r="K54" t="s">
        <v>128</v>
      </c>
      <c r="L54">
        <v>2</v>
      </c>
      <c r="M54" t="s">
        <v>129</v>
      </c>
      <c r="N54">
        <v>3</v>
      </c>
      <c r="O54"/>
      <c r="P54"/>
      <c r="Q54"/>
      <c r="R54"/>
      <c r="S54" s="72">
        <v>45747</v>
      </c>
      <c r="T54" s="72">
        <v>45748</v>
      </c>
      <c r="U54" s="72">
        <v>45748</v>
      </c>
      <c r="V54" s="72" t="s">
        <v>130</v>
      </c>
      <c r="W54" s="72">
        <v>45749</v>
      </c>
      <c r="X54" s="72" t="s">
        <v>130</v>
      </c>
      <c r="Y54"/>
      <c r="Z54"/>
      <c r="AA54" t="s">
        <v>131</v>
      </c>
      <c r="AB54" t="s">
        <v>132</v>
      </c>
      <c r="AC54" t="s">
        <v>131</v>
      </c>
      <c r="AD54" t="s">
        <v>132</v>
      </c>
      <c r="AE54" t="s">
        <v>131</v>
      </c>
      <c r="AF54" t="s">
        <v>131</v>
      </c>
      <c r="AG54" t="s">
        <v>131</v>
      </c>
      <c r="AH54" t="s">
        <v>131</v>
      </c>
      <c r="AI54" t="s">
        <v>131</v>
      </c>
      <c r="AJ54">
        <v>0</v>
      </c>
      <c r="AK54" t="s">
        <v>131</v>
      </c>
      <c r="AL54" t="s">
        <v>132</v>
      </c>
      <c r="AM54" s="16">
        <f>IF(OR(AC54="Yes",K54="Info Request", K54="Side-Project"),0,(NETWORKDAYS(T54,U54,Holidays!A$2:A$13))-1)</f>
        <v>0</v>
      </c>
      <c r="AN54" s="16">
        <f>IF(OR(AC54="Yes",K54="Info Request", K54="Side-Project"),0,(NETWORKDAYS(U54,W54,Holidays!A$2:A$13))-1)</f>
        <v>1</v>
      </c>
      <c r="AO54" s="16">
        <f>IF(OR(V54="none"),0,((NETWORKDAYS(S54,V54,Holidays!A$2:A$13))-1))</f>
        <v>0</v>
      </c>
      <c r="AP54" s="16" t="b">
        <f t="shared" si="3"/>
        <v>1</v>
      </c>
      <c r="AQ54" s="16" t="b">
        <f t="shared" si="4"/>
        <v>1</v>
      </c>
      <c r="AR54" s="60" t="str">
        <f t="shared" si="5"/>
        <v>OK</v>
      </c>
      <c r="AS54" s="60" t="str">
        <f>IF(table_data[[#This Row],[Flagged-Issues]] = 0, "", table_data[[#This Row],[Flagged-Issues]])</f>
        <v/>
      </c>
    </row>
    <row r="55" spans="1:45" x14ac:dyDescent="0.25">
      <c r="A55" t="s">
        <v>29</v>
      </c>
      <c r="B55" t="s">
        <v>121</v>
      </c>
      <c r="C55" t="s">
        <v>122</v>
      </c>
      <c r="D55" s="65">
        <v>202504221310</v>
      </c>
      <c r="E55" t="s">
        <v>236</v>
      </c>
      <c r="F55" t="s">
        <v>139</v>
      </c>
      <c r="G55"/>
      <c r="H55" t="s">
        <v>237</v>
      </c>
      <c r="I55" t="s">
        <v>126</v>
      </c>
      <c r="J55" t="s">
        <v>127</v>
      </c>
      <c r="K55" t="s">
        <v>128</v>
      </c>
      <c r="L55">
        <v>2</v>
      </c>
      <c r="M55" t="s">
        <v>129</v>
      </c>
      <c r="N55">
        <v>2</v>
      </c>
      <c r="O55"/>
      <c r="P55">
        <v>2</v>
      </c>
      <c r="Q55"/>
      <c r="R55"/>
      <c r="S55" s="72">
        <v>45769</v>
      </c>
      <c r="T55" s="72">
        <v>45769</v>
      </c>
      <c r="U55" s="72">
        <v>45769</v>
      </c>
      <c r="V55" s="72" t="s">
        <v>130</v>
      </c>
      <c r="W55" s="72">
        <v>45769</v>
      </c>
      <c r="X55" s="72" t="s">
        <v>130</v>
      </c>
      <c r="Y55"/>
      <c r="Z55"/>
      <c r="AA55" t="s">
        <v>131</v>
      </c>
      <c r="AB55" t="s">
        <v>132</v>
      </c>
      <c r="AC55" t="s">
        <v>131</v>
      </c>
      <c r="AD55" t="s">
        <v>131</v>
      </c>
      <c r="AE55" t="s">
        <v>131</v>
      </c>
      <c r="AF55" t="s">
        <v>131</v>
      </c>
      <c r="AG55" t="s">
        <v>131</v>
      </c>
      <c r="AH55" t="s">
        <v>131</v>
      </c>
      <c r="AI55" t="s">
        <v>131</v>
      </c>
      <c r="AJ55">
        <v>0</v>
      </c>
      <c r="AK55" t="s">
        <v>131</v>
      </c>
      <c r="AL55" t="s">
        <v>132</v>
      </c>
      <c r="AM55" s="16">
        <f>IF(OR(AC55="Yes",K55="Info Request", K55="Side-Project"),0,(NETWORKDAYS(T55,U55,Holidays!A$2:A$13))-1)</f>
        <v>0</v>
      </c>
      <c r="AN55" s="16">
        <f>IF(OR(AC55="Yes",K55="Info Request", K55="Side-Project"),0,(NETWORKDAYS(U55,W55,Holidays!A$2:A$13))-1)</f>
        <v>0</v>
      </c>
      <c r="AO55" s="16">
        <f>IF(OR(V55="none"),0,((NETWORKDAYS(S55,V55,Holidays!A$2:A$13))-1))</f>
        <v>0</v>
      </c>
      <c r="AP55" s="16" t="b">
        <f t="shared" si="3"/>
        <v>1</v>
      </c>
      <c r="AQ55" s="16" t="b">
        <f t="shared" si="4"/>
        <v>1</v>
      </c>
      <c r="AR55" s="60" t="str">
        <f t="shared" si="5"/>
        <v>OK</v>
      </c>
      <c r="AS55" s="60" t="str">
        <f>IF(table_data[[#This Row],[Flagged-Issues]] = 0, "", table_data[[#This Row],[Flagged-Issues]])</f>
        <v/>
      </c>
    </row>
    <row r="56" spans="1:45" x14ac:dyDescent="0.25">
      <c r="A56" t="s">
        <v>104</v>
      </c>
      <c r="B56" t="s">
        <v>121</v>
      </c>
      <c r="C56" t="s">
        <v>122</v>
      </c>
      <c r="D56" s="65">
        <v>202504230910</v>
      </c>
      <c r="E56" t="s">
        <v>220</v>
      </c>
      <c r="F56" t="s">
        <v>134</v>
      </c>
      <c r="G56"/>
      <c r="H56" t="s">
        <v>238</v>
      </c>
      <c r="I56" t="s">
        <v>126</v>
      </c>
      <c r="J56" t="s">
        <v>127</v>
      </c>
      <c r="K56" t="s">
        <v>128</v>
      </c>
      <c r="L56">
        <v>2</v>
      </c>
      <c r="M56" t="s">
        <v>162</v>
      </c>
      <c r="N56">
        <v>1</v>
      </c>
      <c r="O56"/>
      <c r="P56"/>
      <c r="Q56"/>
      <c r="R56"/>
      <c r="S56" s="72">
        <v>45770</v>
      </c>
      <c r="T56" s="72">
        <v>45770</v>
      </c>
      <c r="U56" s="72">
        <v>45770</v>
      </c>
      <c r="V56" s="72" t="s">
        <v>130</v>
      </c>
      <c r="W56" s="72">
        <v>45770</v>
      </c>
      <c r="X56" s="72" t="s">
        <v>130</v>
      </c>
      <c r="Y56"/>
      <c r="Z56"/>
      <c r="AA56" t="s">
        <v>131</v>
      </c>
      <c r="AB56" t="s">
        <v>132</v>
      </c>
      <c r="AC56" t="s">
        <v>131</v>
      </c>
      <c r="AD56" t="s">
        <v>131</v>
      </c>
      <c r="AE56" t="s">
        <v>131</v>
      </c>
      <c r="AF56" t="s">
        <v>131</v>
      </c>
      <c r="AG56" t="s">
        <v>131</v>
      </c>
      <c r="AH56" t="s">
        <v>131</v>
      </c>
      <c r="AI56" t="s">
        <v>131</v>
      </c>
      <c r="AJ56">
        <v>0</v>
      </c>
      <c r="AK56" t="s">
        <v>131</v>
      </c>
      <c r="AL56" t="s">
        <v>132</v>
      </c>
      <c r="AM56" s="16">
        <f>IF(OR(AC56="Yes",K56="Info Request", K56="Side-Project"),0,(NETWORKDAYS(T56,U56,Holidays!A$2:A$13))-1)</f>
        <v>0</v>
      </c>
      <c r="AN56" s="16">
        <f>IF(OR(AC56="Yes",K56="Info Request", K56="Side-Project"),0,(NETWORKDAYS(U56,W56,Holidays!A$2:A$13))-1)</f>
        <v>0</v>
      </c>
      <c r="AO56" s="16">
        <f>IF(OR(V56="none"),0,((NETWORKDAYS(S56,V56,Holidays!A$2:A$13))-1))</f>
        <v>0</v>
      </c>
      <c r="AP56" s="16" t="b">
        <f t="shared" si="3"/>
        <v>1</v>
      </c>
      <c r="AQ56" s="16" t="b">
        <f t="shared" si="4"/>
        <v>1</v>
      </c>
      <c r="AR56" s="60" t="str">
        <f t="shared" si="5"/>
        <v>OK</v>
      </c>
      <c r="AS56" s="60" t="str">
        <f>IF(table_data[[#This Row],[Flagged-Issues]] = 0, "", table_data[[#This Row],[Flagged-Issues]])</f>
        <v/>
      </c>
    </row>
    <row r="57" spans="1:45" x14ac:dyDescent="0.25">
      <c r="A57" t="s">
        <v>104</v>
      </c>
      <c r="B57" t="s">
        <v>121</v>
      </c>
      <c r="C57" t="s">
        <v>122</v>
      </c>
      <c r="D57" s="65">
        <v>202504251436</v>
      </c>
      <c r="E57" t="s">
        <v>233</v>
      </c>
      <c r="F57" t="s">
        <v>134</v>
      </c>
      <c r="G57"/>
      <c r="H57" t="s">
        <v>239</v>
      </c>
      <c r="I57" t="s">
        <v>126</v>
      </c>
      <c r="J57" t="s">
        <v>151</v>
      </c>
      <c r="K57" t="s">
        <v>128</v>
      </c>
      <c r="L57">
        <v>2</v>
      </c>
      <c r="M57" t="s">
        <v>158</v>
      </c>
      <c r="N57">
        <v>2</v>
      </c>
      <c r="O57"/>
      <c r="P57"/>
      <c r="Q57"/>
      <c r="R57"/>
      <c r="S57" s="72">
        <v>45772</v>
      </c>
      <c r="T57" s="72">
        <v>45772</v>
      </c>
      <c r="U57" s="72">
        <v>45772</v>
      </c>
      <c r="V57" s="72" t="s">
        <v>130</v>
      </c>
      <c r="W57" s="72">
        <v>45776</v>
      </c>
      <c r="X57" s="72" t="s">
        <v>130</v>
      </c>
      <c r="Y57" t="s">
        <v>146</v>
      </c>
      <c r="Z57" t="s">
        <v>147</v>
      </c>
      <c r="AA57" t="s">
        <v>131</v>
      </c>
      <c r="AB57" t="s">
        <v>132</v>
      </c>
      <c r="AC57" t="s">
        <v>131</v>
      </c>
      <c r="AD57" t="s">
        <v>131</v>
      </c>
      <c r="AE57" t="s">
        <v>131</v>
      </c>
      <c r="AF57" t="s">
        <v>131</v>
      </c>
      <c r="AG57" t="s">
        <v>131</v>
      </c>
      <c r="AH57" t="s">
        <v>131</v>
      </c>
      <c r="AI57" t="s">
        <v>132</v>
      </c>
      <c r="AJ57">
        <v>0</v>
      </c>
      <c r="AK57" t="s">
        <v>131</v>
      </c>
      <c r="AL57" t="s">
        <v>148</v>
      </c>
      <c r="AM57" s="16">
        <f>IF(OR(AC57="Yes",K57="Info Request", K57="Side-Project"),0,(NETWORKDAYS(T57,U57,Holidays!A$2:A$13))-1)</f>
        <v>0</v>
      </c>
      <c r="AN57" s="16">
        <f>IF(OR(AC57="Yes",K57="Info Request", K57="Side-Project"),0,(NETWORKDAYS(U57,W57,Holidays!A$2:A$13))-1)</f>
        <v>2</v>
      </c>
      <c r="AO57" s="16">
        <f>IF(OR(V57="none"),0,((NETWORKDAYS(S57,V57,Holidays!A$2:A$13))-1))</f>
        <v>0</v>
      </c>
      <c r="AP57" s="16" t="b">
        <f t="shared" si="3"/>
        <v>1</v>
      </c>
      <c r="AQ57" s="16" t="b">
        <f t="shared" si="4"/>
        <v>1</v>
      </c>
      <c r="AR57" s="60" t="str">
        <f t="shared" si="5"/>
        <v>OK</v>
      </c>
      <c r="AS57" s="60" t="str">
        <f>IF(table_data[[#This Row],[Flagged-Issues]] = 0, "", table_data[[#This Row],[Flagged-Issues]])</f>
        <v/>
      </c>
    </row>
    <row r="58" spans="1:45" x14ac:dyDescent="0.25">
      <c r="A58" t="s">
        <v>104</v>
      </c>
      <c r="B58" t="s">
        <v>121</v>
      </c>
      <c r="C58" t="s">
        <v>122</v>
      </c>
      <c r="D58" s="65">
        <v>202504230946</v>
      </c>
      <c r="E58" t="s">
        <v>198</v>
      </c>
      <c r="F58" t="s">
        <v>134</v>
      </c>
      <c r="G58"/>
      <c r="H58" t="s">
        <v>240</v>
      </c>
      <c r="I58" t="s">
        <v>126</v>
      </c>
      <c r="J58" t="s">
        <v>157</v>
      </c>
      <c r="K58" t="s">
        <v>128</v>
      </c>
      <c r="L58">
        <v>3</v>
      </c>
      <c r="M58" t="s">
        <v>241</v>
      </c>
      <c r="N58">
        <v>2</v>
      </c>
      <c r="O58"/>
      <c r="P58"/>
      <c r="Q58"/>
      <c r="R58"/>
      <c r="S58" s="72">
        <v>45770</v>
      </c>
      <c r="T58" s="72">
        <v>45770</v>
      </c>
      <c r="U58" s="72">
        <v>45775</v>
      </c>
      <c r="V58" s="72" t="s">
        <v>130</v>
      </c>
      <c r="W58" s="72">
        <v>45777</v>
      </c>
      <c r="X58" s="72" t="s">
        <v>130</v>
      </c>
      <c r="Y58" t="s">
        <v>146</v>
      </c>
      <c r="Z58" t="s">
        <v>147</v>
      </c>
      <c r="AA58" t="s">
        <v>131</v>
      </c>
      <c r="AB58" t="s">
        <v>132</v>
      </c>
      <c r="AC58" t="s">
        <v>131</v>
      </c>
      <c r="AD58" t="s">
        <v>132</v>
      </c>
      <c r="AE58" t="s">
        <v>131</v>
      </c>
      <c r="AF58" t="s">
        <v>131</v>
      </c>
      <c r="AG58" t="s">
        <v>131</v>
      </c>
      <c r="AH58" t="s">
        <v>131</v>
      </c>
      <c r="AI58" t="s">
        <v>132</v>
      </c>
      <c r="AJ58">
        <v>0</v>
      </c>
      <c r="AK58" t="s">
        <v>131</v>
      </c>
      <c r="AL58" t="s">
        <v>148</v>
      </c>
      <c r="AM58" s="16">
        <f>IF(OR(AC58="Yes",K58="Info Request", K58="Side-Project"),0,(NETWORKDAYS(T58,U58,Holidays!A$2:A$13))-1)</f>
        <v>3</v>
      </c>
      <c r="AN58" s="16">
        <f>IF(OR(AC58="Yes",K58="Info Request", K58="Side-Project"),0,(NETWORKDAYS(U58,W58,Holidays!A$2:A$13))-1)</f>
        <v>2</v>
      </c>
      <c r="AO58" s="16">
        <f>IF(OR(V58="none"),0,((NETWORKDAYS(S58,V58,Holidays!A$2:A$13))-1))</f>
        <v>0</v>
      </c>
      <c r="AP58" s="16" t="b">
        <f t="shared" si="3"/>
        <v>1</v>
      </c>
      <c r="AQ58" s="16" t="b">
        <f t="shared" si="4"/>
        <v>1</v>
      </c>
      <c r="AR58" s="60" t="str">
        <f t="shared" si="5"/>
        <v>OK</v>
      </c>
      <c r="AS58" s="60" t="str">
        <f>IF(table_data[[#This Row],[Flagged-Issues]] = 0, "", table_data[[#This Row],[Flagged-Issues]])</f>
        <v/>
      </c>
    </row>
    <row r="59" spans="1:45" x14ac:dyDescent="0.25">
      <c r="A59" t="s">
        <v>29</v>
      </c>
      <c r="B59" t="s">
        <v>121</v>
      </c>
      <c r="C59" t="s">
        <v>122</v>
      </c>
      <c r="D59" s="65">
        <v>202504081535</v>
      </c>
      <c r="E59" t="s">
        <v>180</v>
      </c>
      <c r="F59" t="s">
        <v>173</v>
      </c>
      <c r="G59"/>
      <c r="H59" t="s">
        <v>242</v>
      </c>
      <c r="I59" t="s">
        <v>126</v>
      </c>
      <c r="J59" t="s">
        <v>127</v>
      </c>
      <c r="K59" t="s">
        <v>128</v>
      </c>
      <c r="L59">
        <v>2</v>
      </c>
      <c r="M59" t="s">
        <v>141</v>
      </c>
      <c r="N59">
        <v>2</v>
      </c>
      <c r="O59">
        <v>2</v>
      </c>
      <c r="P59"/>
      <c r="Q59"/>
      <c r="R59"/>
      <c r="S59" s="72">
        <v>45775</v>
      </c>
      <c r="T59" s="72">
        <v>45775</v>
      </c>
      <c r="U59" s="72">
        <v>45775</v>
      </c>
      <c r="V59" s="72" t="s">
        <v>130</v>
      </c>
      <c r="W59" s="72">
        <v>45776</v>
      </c>
      <c r="X59" s="72" t="s">
        <v>130</v>
      </c>
      <c r="Y59" t="s">
        <v>126</v>
      </c>
      <c r="Z59" t="s">
        <v>147</v>
      </c>
      <c r="AA59" t="s">
        <v>131</v>
      </c>
      <c r="AB59" t="s">
        <v>132</v>
      </c>
      <c r="AC59" t="s">
        <v>131</v>
      </c>
      <c r="AD59" t="s">
        <v>131</v>
      </c>
      <c r="AE59" t="s">
        <v>131</v>
      </c>
      <c r="AF59" t="s">
        <v>131</v>
      </c>
      <c r="AG59" t="s">
        <v>131</v>
      </c>
      <c r="AH59" t="s">
        <v>132</v>
      </c>
      <c r="AI59" t="s">
        <v>132</v>
      </c>
      <c r="AJ59">
        <v>0</v>
      </c>
      <c r="AK59" t="s">
        <v>131</v>
      </c>
      <c r="AL59" t="s">
        <v>148</v>
      </c>
      <c r="AM59" s="16">
        <f>IF(OR(AC59="Yes",K59="Info Request", K59="Side-Project"),0,(NETWORKDAYS(T59,U59,Holidays!A$2:A$13))-1)</f>
        <v>0</v>
      </c>
      <c r="AN59" s="16">
        <f>IF(OR(AC59="Yes",K59="Info Request", K59="Side-Project"),0,(NETWORKDAYS(U59,W59,Holidays!A$2:A$13))-1)</f>
        <v>1</v>
      </c>
      <c r="AO59" s="16">
        <f>IF(OR(V59="none"),0,((NETWORKDAYS(S59,V59,Holidays!A$2:A$13))-1))</f>
        <v>0</v>
      </c>
      <c r="AP59" s="16" t="b">
        <f t="shared" si="3"/>
        <v>1</v>
      </c>
      <c r="AQ59" s="16" t="b">
        <f t="shared" si="4"/>
        <v>1</v>
      </c>
      <c r="AR59" s="60" t="str">
        <f t="shared" si="5"/>
        <v>OK</v>
      </c>
      <c r="AS59" s="60" t="str">
        <f>IF(table_data[[#This Row],[Flagged-Issues]] = 0, "", table_data[[#This Row],[Flagged-Issues]])</f>
        <v/>
      </c>
    </row>
    <row r="60" spans="1:45" x14ac:dyDescent="0.25">
      <c r="A60" t="s">
        <v>104</v>
      </c>
      <c r="B60" t="s">
        <v>121</v>
      </c>
      <c r="C60" t="s">
        <v>122</v>
      </c>
      <c r="D60" s="65">
        <v>202504020922</v>
      </c>
      <c r="E60" t="s">
        <v>217</v>
      </c>
      <c r="F60" t="s">
        <v>134</v>
      </c>
      <c r="G60"/>
      <c r="H60" t="s">
        <v>243</v>
      </c>
      <c r="I60" t="s">
        <v>126</v>
      </c>
      <c r="J60" t="s">
        <v>136</v>
      </c>
      <c r="K60" t="s">
        <v>128</v>
      </c>
      <c r="L60">
        <v>2</v>
      </c>
      <c r="M60" t="s">
        <v>137</v>
      </c>
      <c r="N60">
        <v>1</v>
      </c>
      <c r="O60"/>
      <c r="P60"/>
      <c r="Q60"/>
      <c r="R60"/>
      <c r="S60" s="72">
        <v>45749</v>
      </c>
      <c r="T60" s="72">
        <v>45750</v>
      </c>
      <c r="U60" s="72">
        <v>45750</v>
      </c>
      <c r="V60" s="72" t="s">
        <v>130</v>
      </c>
      <c r="W60" s="72">
        <v>45771</v>
      </c>
      <c r="X60" s="72" t="s">
        <v>130</v>
      </c>
      <c r="Y60"/>
      <c r="Z60"/>
      <c r="AA60" t="s">
        <v>131</v>
      </c>
      <c r="AB60" t="s">
        <v>132</v>
      </c>
      <c r="AC60" t="s">
        <v>131</v>
      </c>
      <c r="AD60" t="s">
        <v>131</v>
      </c>
      <c r="AE60" t="s">
        <v>131</v>
      </c>
      <c r="AF60" t="s">
        <v>131</v>
      </c>
      <c r="AG60" t="s">
        <v>131</v>
      </c>
      <c r="AH60" t="s">
        <v>131</v>
      </c>
      <c r="AI60" t="s">
        <v>131</v>
      </c>
      <c r="AJ60">
        <v>0</v>
      </c>
      <c r="AK60" t="s">
        <v>131</v>
      </c>
      <c r="AL60" t="s">
        <v>132</v>
      </c>
      <c r="AM60" s="16">
        <f>IF(OR(AC60="Yes",K60="Info Request", K60="Side-Project"),0,(NETWORKDAYS(T60,U60,Holidays!A$2:A$13))-1)</f>
        <v>0</v>
      </c>
      <c r="AN60" s="16">
        <f>IF(OR(AC60="Yes",K60="Info Request", K60="Side-Project"),0,(NETWORKDAYS(U60,W60,Holidays!A$2:A$13))-1)</f>
        <v>13</v>
      </c>
      <c r="AO60" s="16">
        <f>IF(OR(V60="none"),0,((NETWORKDAYS(S60,V60,Holidays!A$2:A$13))-1))</f>
        <v>0</v>
      </c>
      <c r="AP60" s="16" t="b">
        <f t="shared" si="3"/>
        <v>1</v>
      </c>
      <c r="AQ60" s="16" t="b">
        <f t="shared" si="4"/>
        <v>1</v>
      </c>
      <c r="AR60" s="60" t="str">
        <f t="shared" si="5"/>
        <v>OK</v>
      </c>
      <c r="AS60" s="60" t="str">
        <f>IF(table_data[[#This Row],[Flagged-Issues]] = 0, "", table_data[[#This Row],[Flagged-Issues]])</f>
        <v/>
      </c>
    </row>
    <row r="61" spans="1:45" x14ac:dyDescent="0.25">
      <c r="A61" t="s">
        <v>104</v>
      </c>
      <c r="B61" t="s">
        <v>121</v>
      </c>
      <c r="C61" t="s">
        <v>122</v>
      </c>
      <c r="D61" s="65">
        <v>202504020832</v>
      </c>
      <c r="E61" t="s">
        <v>217</v>
      </c>
      <c r="F61" t="s">
        <v>134</v>
      </c>
      <c r="G61"/>
      <c r="H61" t="s">
        <v>244</v>
      </c>
      <c r="I61" t="s">
        <v>126</v>
      </c>
      <c r="J61" t="s">
        <v>136</v>
      </c>
      <c r="K61" t="s">
        <v>128</v>
      </c>
      <c r="L61">
        <v>2</v>
      </c>
      <c r="M61" t="s">
        <v>143</v>
      </c>
      <c r="N61">
        <v>2</v>
      </c>
      <c r="O61"/>
      <c r="P61"/>
      <c r="Q61"/>
      <c r="R61"/>
      <c r="S61" s="72">
        <v>45749</v>
      </c>
      <c r="T61" s="72">
        <v>45749</v>
      </c>
      <c r="U61" s="72">
        <v>45749</v>
      </c>
      <c r="V61" s="72" t="s">
        <v>130</v>
      </c>
      <c r="W61" s="72">
        <v>45750</v>
      </c>
      <c r="X61" s="72" t="s">
        <v>130</v>
      </c>
      <c r="Y61"/>
      <c r="Z61"/>
      <c r="AA61" t="s">
        <v>131</v>
      </c>
      <c r="AB61" t="s">
        <v>132</v>
      </c>
      <c r="AC61" t="s">
        <v>131</v>
      </c>
      <c r="AD61" t="s">
        <v>131</v>
      </c>
      <c r="AE61" t="s">
        <v>131</v>
      </c>
      <c r="AF61" t="s">
        <v>131</v>
      </c>
      <c r="AG61" t="s">
        <v>131</v>
      </c>
      <c r="AH61" t="s">
        <v>131</v>
      </c>
      <c r="AI61" t="s">
        <v>131</v>
      </c>
      <c r="AJ61">
        <v>0</v>
      </c>
      <c r="AK61" t="s">
        <v>131</v>
      </c>
      <c r="AL61" t="s">
        <v>132</v>
      </c>
      <c r="AM61" s="16">
        <f>IF(OR(AC61="Yes",K61="Info Request", K61="Side-Project"),0,(NETWORKDAYS(T61,U61,Holidays!A$2:A$13))-1)</f>
        <v>0</v>
      </c>
      <c r="AN61" s="16">
        <f>IF(OR(AC61="Yes",K61="Info Request", K61="Side-Project"),0,(NETWORKDAYS(U61,W61,Holidays!A$2:A$13))-1)</f>
        <v>1</v>
      </c>
      <c r="AO61" s="16">
        <f>IF(OR(V61="none"),0,((NETWORKDAYS(S61,V61,Holidays!A$2:A$13))-1))</f>
        <v>0</v>
      </c>
      <c r="AP61" s="16" t="b">
        <f t="shared" si="3"/>
        <v>1</v>
      </c>
      <c r="AQ61" s="16" t="b">
        <f t="shared" si="4"/>
        <v>1</v>
      </c>
      <c r="AR61" s="60" t="str">
        <f t="shared" si="5"/>
        <v>OK</v>
      </c>
      <c r="AS61" s="60" t="str">
        <f>IF(table_data[[#This Row],[Flagged-Issues]] = 0, "", table_data[[#This Row],[Flagged-Issues]])</f>
        <v/>
      </c>
    </row>
    <row r="62" spans="1:45" x14ac:dyDescent="0.25">
      <c r="A62" t="s">
        <v>104</v>
      </c>
      <c r="B62" t="s">
        <v>121</v>
      </c>
      <c r="C62" t="s">
        <v>122</v>
      </c>
      <c r="D62" s="65">
        <v>202503311448</v>
      </c>
      <c r="E62" t="s">
        <v>133</v>
      </c>
      <c r="F62" t="s">
        <v>134</v>
      </c>
      <c r="G62"/>
      <c r="H62" t="s">
        <v>245</v>
      </c>
      <c r="I62" t="s">
        <v>126</v>
      </c>
      <c r="J62" t="s">
        <v>157</v>
      </c>
      <c r="K62" t="s">
        <v>128</v>
      </c>
      <c r="L62">
        <v>2</v>
      </c>
      <c r="M62" t="s">
        <v>141</v>
      </c>
      <c r="N62"/>
      <c r="O62"/>
      <c r="P62"/>
      <c r="Q62">
        <v>1</v>
      </c>
      <c r="R62"/>
      <c r="S62" s="72">
        <v>45747</v>
      </c>
      <c r="T62" s="72">
        <v>45749</v>
      </c>
      <c r="U62" s="72">
        <v>45749</v>
      </c>
      <c r="V62" s="72" t="s">
        <v>130</v>
      </c>
      <c r="W62" s="72">
        <v>45750</v>
      </c>
      <c r="X62" s="72" t="s">
        <v>130</v>
      </c>
      <c r="Y62" t="s">
        <v>146</v>
      </c>
      <c r="Z62" t="s">
        <v>147</v>
      </c>
      <c r="AA62" t="s">
        <v>131</v>
      </c>
      <c r="AB62" t="s">
        <v>132</v>
      </c>
      <c r="AC62" t="s">
        <v>131</v>
      </c>
      <c r="AD62" t="s">
        <v>131</v>
      </c>
      <c r="AE62" t="s">
        <v>131</v>
      </c>
      <c r="AF62" t="s">
        <v>131</v>
      </c>
      <c r="AG62" t="s">
        <v>131</v>
      </c>
      <c r="AH62" t="s">
        <v>131</v>
      </c>
      <c r="AI62" t="s">
        <v>132</v>
      </c>
      <c r="AJ62">
        <v>0</v>
      </c>
      <c r="AK62" t="s">
        <v>131</v>
      </c>
      <c r="AL62" t="s">
        <v>148</v>
      </c>
      <c r="AM62" s="16">
        <f>IF(OR(AC62="Yes",K62="Info Request", K62="Side-Project"),0,(NETWORKDAYS(T62,U62,Holidays!A$2:A$13))-1)</f>
        <v>0</v>
      </c>
      <c r="AN62" s="16">
        <f>IF(OR(AC62="Yes",K62="Info Request", K62="Side-Project"),0,(NETWORKDAYS(U62,W62,Holidays!A$2:A$13))-1)</f>
        <v>1</v>
      </c>
      <c r="AO62" s="16">
        <f>IF(OR(V62="none"),0,((NETWORKDAYS(S62,V62,Holidays!A$2:A$13))-1))</f>
        <v>0</v>
      </c>
      <c r="AP62" s="16" t="b">
        <f t="shared" si="3"/>
        <v>1</v>
      </c>
      <c r="AQ62" s="16" t="b">
        <f t="shared" si="4"/>
        <v>1</v>
      </c>
      <c r="AR62" s="60" t="str">
        <f t="shared" si="5"/>
        <v>OK</v>
      </c>
      <c r="AS62" s="60" t="str">
        <f>IF(table_data[[#This Row],[Flagged-Issues]] = 0, "", table_data[[#This Row],[Flagged-Issues]])</f>
        <v/>
      </c>
    </row>
    <row r="63" spans="1:45" x14ac:dyDescent="0.25">
      <c r="A63" t="s">
        <v>29</v>
      </c>
      <c r="B63" t="s">
        <v>121</v>
      </c>
      <c r="C63" t="s">
        <v>122</v>
      </c>
      <c r="D63" s="65">
        <v>202504031005</v>
      </c>
      <c r="E63" t="s">
        <v>246</v>
      </c>
      <c r="F63" t="s">
        <v>173</v>
      </c>
      <c r="G63"/>
      <c r="H63" t="s">
        <v>247</v>
      </c>
      <c r="I63" t="s">
        <v>126</v>
      </c>
      <c r="J63" t="s">
        <v>136</v>
      </c>
      <c r="K63" t="s">
        <v>128</v>
      </c>
      <c r="L63">
        <v>2</v>
      </c>
      <c r="M63" t="s">
        <v>137</v>
      </c>
      <c r="N63">
        <v>1</v>
      </c>
      <c r="O63"/>
      <c r="P63"/>
      <c r="Q63"/>
      <c r="R63"/>
      <c r="S63" s="72">
        <v>45750</v>
      </c>
      <c r="T63" s="72">
        <v>45750</v>
      </c>
      <c r="U63" s="72">
        <v>45750</v>
      </c>
      <c r="V63" s="72" t="s">
        <v>130</v>
      </c>
      <c r="W63" s="72">
        <v>45750</v>
      </c>
      <c r="X63" s="72" t="s">
        <v>130</v>
      </c>
      <c r="Y63"/>
      <c r="Z63"/>
      <c r="AA63" t="s">
        <v>131</v>
      </c>
      <c r="AB63" t="s">
        <v>132</v>
      </c>
      <c r="AC63" t="s">
        <v>131</v>
      </c>
      <c r="AD63" t="s">
        <v>131</v>
      </c>
      <c r="AE63" t="s">
        <v>131</v>
      </c>
      <c r="AF63" t="s">
        <v>131</v>
      </c>
      <c r="AG63" t="s">
        <v>131</v>
      </c>
      <c r="AH63" t="s">
        <v>131</v>
      </c>
      <c r="AI63" t="s">
        <v>131</v>
      </c>
      <c r="AJ63">
        <v>0</v>
      </c>
      <c r="AK63" t="s">
        <v>131</v>
      </c>
      <c r="AL63" t="s">
        <v>132</v>
      </c>
      <c r="AM63" s="16">
        <f>IF(OR(AC63="Yes",K63="Info Request", K63="Side-Project"),0,(NETWORKDAYS(T63,U63,Holidays!A$2:A$13))-1)</f>
        <v>0</v>
      </c>
      <c r="AN63" s="16">
        <f>IF(OR(AC63="Yes",K63="Info Request", K63="Side-Project"),0,(NETWORKDAYS(U63,W63,Holidays!A$2:A$13))-1)</f>
        <v>0</v>
      </c>
      <c r="AO63" s="16">
        <f>IF(OR(V63="none"),0,((NETWORKDAYS(S63,V63,Holidays!A$2:A$13))-1))</f>
        <v>0</v>
      </c>
      <c r="AP63" s="16" t="b">
        <f t="shared" si="3"/>
        <v>1</v>
      </c>
      <c r="AQ63" s="16" t="b">
        <f t="shared" si="4"/>
        <v>1</v>
      </c>
      <c r="AR63" s="60" t="str">
        <f t="shared" si="5"/>
        <v>OK</v>
      </c>
      <c r="AS63" s="60" t="str">
        <f>IF(table_data[[#This Row],[Flagged-Issues]] = 0, "", table_data[[#This Row],[Flagged-Issues]])</f>
        <v/>
      </c>
    </row>
    <row r="64" spans="1:45" x14ac:dyDescent="0.25">
      <c r="A64" t="s">
        <v>29</v>
      </c>
      <c r="B64" t="s">
        <v>121</v>
      </c>
      <c r="C64" t="s">
        <v>122</v>
      </c>
      <c r="D64" s="65">
        <v>202504030828</v>
      </c>
      <c r="E64" t="s">
        <v>246</v>
      </c>
      <c r="F64" t="s">
        <v>173</v>
      </c>
      <c r="G64"/>
      <c r="H64" t="s">
        <v>248</v>
      </c>
      <c r="I64" t="s">
        <v>126</v>
      </c>
      <c r="J64" t="s">
        <v>249</v>
      </c>
      <c r="K64" t="s">
        <v>128</v>
      </c>
      <c r="L64">
        <v>2</v>
      </c>
      <c r="M64" t="s">
        <v>129</v>
      </c>
      <c r="N64">
        <v>2</v>
      </c>
      <c r="O64"/>
      <c r="P64"/>
      <c r="Q64"/>
      <c r="R64"/>
      <c r="S64" s="72">
        <v>45750</v>
      </c>
      <c r="T64" s="72">
        <v>45750</v>
      </c>
      <c r="U64" s="72">
        <v>45750</v>
      </c>
      <c r="V64" s="72" t="s">
        <v>130</v>
      </c>
      <c r="W64" s="72">
        <v>45750</v>
      </c>
      <c r="X64" s="72" t="s">
        <v>130</v>
      </c>
      <c r="Y64"/>
      <c r="Z64"/>
      <c r="AA64" t="s">
        <v>131</v>
      </c>
      <c r="AB64" t="s">
        <v>132</v>
      </c>
      <c r="AC64" t="s">
        <v>131</v>
      </c>
      <c r="AD64" t="s">
        <v>131</v>
      </c>
      <c r="AE64" t="s">
        <v>131</v>
      </c>
      <c r="AF64" t="s">
        <v>131</v>
      </c>
      <c r="AG64" t="s">
        <v>131</v>
      </c>
      <c r="AH64" t="s">
        <v>131</v>
      </c>
      <c r="AI64" t="s">
        <v>131</v>
      </c>
      <c r="AJ64">
        <v>0</v>
      </c>
      <c r="AK64" t="s">
        <v>131</v>
      </c>
      <c r="AL64" t="s">
        <v>132</v>
      </c>
      <c r="AM64" s="16">
        <f>IF(OR(AC64="Yes",K64="Info Request", K64="Side-Project"),0,(NETWORKDAYS(T64,U64,Holidays!A$2:A$13))-1)</f>
        <v>0</v>
      </c>
      <c r="AN64" s="16">
        <f>IF(OR(AC64="Yes",K64="Info Request", K64="Side-Project"),0,(NETWORKDAYS(U64,W64,Holidays!A$2:A$13))-1)</f>
        <v>0</v>
      </c>
      <c r="AO64" s="16">
        <f>IF(OR(V64="none"),0,((NETWORKDAYS(S64,V64,Holidays!A$2:A$13))-1))</f>
        <v>0</v>
      </c>
      <c r="AP64" s="16" t="b">
        <f t="shared" si="3"/>
        <v>1</v>
      </c>
      <c r="AQ64" s="16" t="b">
        <f t="shared" si="4"/>
        <v>1</v>
      </c>
      <c r="AR64" s="60" t="str">
        <f t="shared" si="5"/>
        <v>OK</v>
      </c>
      <c r="AS64" s="60" t="str">
        <f>IF(table_data[[#This Row],[Flagged-Issues]] = 0, "", table_data[[#This Row],[Flagged-Issues]])</f>
        <v/>
      </c>
    </row>
    <row r="65" spans="1:45" x14ac:dyDescent="0.25">
      <c r="A65" t="s">
        <v>104</v>
      </c>
      <c r="B65" t="s">
        <v>121</v>
      </c>
      <c r="C65" t="s">
        <v>122</v>
      </c>
      <c r="D65" s="65">
        <v>202504291433</v>
      </c>
      <c r="E65" t="s">
        <v>233</v>
      </c>
      <c r="F65" t="s">
        <v>134</v>
      </c>
      <c r="G65"/>
      <c r="H65" t="s">
        <v>250</v>
      </c>
      <c r="I65" t="s">
        <v>126</v>
      </c>
      <c r="J65" t="s">
        <v>136</v>
      </c>
      <c r="K65" t="s">
        <v>128</v>
      </c>
      <c r="L65">
        <v>2</v>
      </c>
      <c r="M65" t="s">
        <v>137</v>
      </c>
      <c r="N65">
        <v>2</v>
      </c>
      <c r="O65"/>
      <c r="P65"/>
      <c r="Q65"/>
      <c r="R65"/>
      <c r="S65" s="72">
        <v>45776</v>
      </c>
      <c r="T65" s="72">
        <v>45777</v>
      </c>
      <c r="U65" s="72">
        <v>45777</v>
      </c>
      <c r="V65" s="72" t="s">
        <v>130</v>
      </c>
      <c r="W65" s="72">
        <v>45777</v>
      </c>
      <c r="X65" s="72" t="s">
        <v>130</v>
      </c>
      <c r="Y65"/>
      <c r="Z65"/>
      <c r="AA65" t="s">
        <v>131</v>
      </c>
      <c r="AB65" t="s">
        <v>132</v>
      </c>
      <c r="AC65" t="s">
        <v>131</v>
      </c>
      <c r="AD65" t="s">
        <v>131</v>
      </c>
      <c r="AE65" t="s">
        <v>131</v>
      </c>
      <c r="AF65" t="s">
        <v>131</v>
      </c>
      <c r="AG65" t="s">
        <v>131</v>
      </c>
      <c r="AH65" t="s">
        <v>131</v>
      </c>
      <c r="AI65" t="s">
        <v>131</v>
      </c>
      <c r="AJ65">
        <v>0</v>
      </c>
      <c r="AK65" t="s">
        <v>131</v>
      </c>
      <c r="AL65" t="s">
        <v>132</v>
      </c>
      <c r="AM65" s="16">
        <f>IF(OR(AC65="Yes",K65="Info Request", K65="Side-Project"),0,(NETWORKDAYS(T65,U65,Holidays!A$2:A$13))-1)</f>
        <v>0</v>
      </c>
      <c r="AN65" s="16">
        <f>IF(OR(AC65="Yes",K65="Info Request", K65="Side-Project"),0,(NETWORKDAYS(U65,W65,Holidays!A$2:A$13))-1)</f>
        <v>0</v>
      </c>
      <c r="AO65" s="16">
        <f>IF(OR(V65="none"),0,((NETWORKDAYS(S65,V65,Holidays!A$2:A$13))-1))</f>
        <v>0</v>
      </c>
      <c r="AP65" s="16" t="b">
        <f t="shared" si="3"/>
        <v>1</v>
      </c>
      <c r="AQ65" s="16" t="b">
        <f t="shared" si="4"/>
        <v>1</v>
      </c>
      <c r="AR65" s="60" t="str">
        <f t="shared" si="5"/>
        <v>OK</v>
      </c>
      <c r="AS65" s="60" t="str">
        <f>IF(table_data[[#This Row],[Flagged-Issues]] = 0, "", table_data[[#This Row],[Flagged-Issues]])</f>
        <v/>
      </c>
    </row>
    <row r="66" spans="1:45" x14ac:dyDescent="0.25">
      <c r="A66" t="s">
        <v>104</v>
      </c>
      <c r="B66" t="s">
        <v>121</v>
      </c>
      <c r="C66" t="s">
        <v>122</v>
      </c>
      <c r="D66" s="65">
        <v>202504291441</v>
      </c>
      <c r="E66" t="s">
        <v>133</v>
      </c>
      <c r="F66" t="s">
        <v>134</v>
      </c>
      <c r="G66" t="s">
        <v>251</v>
      </c>
      <c r="H66" t="s">
        <v>252</v>
      </c>
      <c r="I66" t="s">
        <v>126</v>
      </c>
      <c r="J66" t="s">
        <v>136</v>
      </c>
      <c r="K66" t="s">
        <v>128</v>
      </c>
      <c r="L66">
        <v>2</v>
      </c>
      <c r="M66" t="s">
        <v>137</v>
      </c>
      <c r="N66">
        <v>2</v>
      </c>
      <c r="O66"/>
      <c r="P66"/>
      <c r="Q66"/>
      <c r="R66"/>
      <c r="S66" s="72">
        <v>45776</v>
      </c>
      <c r="T66" s="72">
        <v>45777</v>
      </c>
      <c r="U66" s="72">
        <v>45777</v>
      </c>
      <c r="V66" s="72" t="s">
        <v>130</v>
      </c>
      <c r="W66" s="72">
        <v>45777</v>
      </c>
      <c r="X66" s="72" t="s">
        <v>130</v>
      </c>
      <c r="Y66"/>
      <c r="Z66"/>
      <c r="AA66" t="s">
        <v>131</v>
      </c>
      <c r="AB66" t="s">
        <v>132</v>
      </c>
      <c r="AC66" t="s">
        <v>131</v>
      </c>
      <c r="AD66" t="s">
        <v>131</v>
      </c>
      <c r="AE66" t="s">
        <v>131</v>
      </c>
      <c r="AF66" t="s">
        <v>131</v>
      </c>
      <c r="AG66" t="s">
        <v>131</v>
      </c>
      <c r="AH66" t="s">
        <v>131</v>
      </c>
      <c r="AI66" t="s">
        <v>131</v>
      </c>
      <c r="AJ66">
        <v>0</v>
      </c>
      <c r="AK66" t="s">
        <v>131</v>
      </c>
      <c r="AL66" t="s">
        <v>132</v>
      </c>
      <c r="AM66" s="16">
        <f>IF(OR(AC66="Yes",K66="Info Request", K66="Side-Project"),0,(NETWORKDAYS(T66,U66,Holidays!A$2:A$13))-1)</f>
        <v>0</v>
      </c>
      <c r="AN66" s="16">
        <f>IF(OR(AC66="Yes",K66="Info Request", K66="Side-Project"),0,(NETWORKDAYS(U66,W66,Holidays!A$2:A$13))-1)</f>
        <v>0</v>
      </c>
      <c r="AO66" s="16">
        <f>IF(OR(V66="none"),0,((NETWORKDAYS(S66,V66,Holidays!A$2:A$13))-1))</f>
        <v>0</v>
      </c>
      <c r="AP66" s="16" t="b">
        <f t="shared" si="3"/>
        <v>1</v>
      </c>
      <c r="AQ66" s="16" t="b">
        <f t="shared" si="4"/>
        <v>1</v>
      </c>
      <c r="AR66" s="60" t="str">
        <f t="shared" si="5"/>
        <v>OK</v>
      </c>
      <c r="AS66" s="60" t="str">
        <f>IF(table_data[[#This Row],[Flagged-Issues]] = 0, "", table_data[[#This Row],[Flagged-Issues]])</f>
        <v/>
      </c>
    </row>
    <row r="67" spans="1:45" x14ac:dyDescent="0.25">
      <c r="A67" t="s">
        <v>104</v>
      </c>
      <c r="B67" t="s">
        <v>121</v>
      </c>
      <c r="C67" t="s">
        <v>122</v>
      </c>
      <c r="D67" s="65">
        <v>202504280905</v>
      </c>
      <c r="E67" t="s">
        <v>253</v>
      </c>
      <c r="F67" t="s">
        <v>134</v>
      </c>
      <c r="G67"/>
      <c r="H67" t="s">
        <v>254</v>
      </c>
      <c r="I67" t="s">
        <v>126</v>
      </c>
      <c r="J67" t="s">
        <v>145</v>
      </c>
      <c r="K67" t="s">
        <v>255</v>
      </c>
      <c r="L67">
        <v>2</v>
      </c>
      <c r="M67" t="s">
        <v>141</v>
      </c>
      <c r="N67">
        <v>6</v>
      </c>
      <c r="O67"/>
      <c r="P67"/>
      <c r="Q67"/>
      <c r="R67"/>
      <c r="S67" s="72">
        <v>45775</v>
      </c>
      <c r="T67" s="72">
        <v>45775</v>
      </c>
      <c r="U67" s="72">
        <v>45776</v>
      </c>
      <c r="V67" s="72" t="s">
        <v>130</v>
      </c>
      <c r="W67" s="72">
        <v>45777</v>
      </c>
      <c r="X67" s="72" t="s">
        <v>130</v>
      </c>
      <c r="Y67"/>
      <c r="Z67"/>
      <c r="AA67" t="s">
        <v>131</v>
      </c>
      <c r="AB67" t="s">
        <v>131</v>
      </c>
      <c r="AC67" t="s">
        <v>131</v>
      </c>
      <c r="AD67" t="s">
        <v>131</v>
      </c>
      <c r="AE67" t="s">
        <v>131</v>
      </c>
      <c r="AF67" t="s">
        <v>131</v>
      </c>
      <c r="AG67" t="s">
        <v>131</v>
      </c>
      <c r="AH67" t="s">
        <v>132</v>
      </c>
      <c r="AI67" t="s">
        <v>132</v>
      </c>
      <c r="AJ67">
        <v>0</v>
      </c>
      <c r="AK67" t="s">
        <v>131</v>
      </c>
      <c r="AL67" t="s">
        <v>132</v>
      </c>
      <c r="AM67" s="16">
        <f>IF(OR(AC67="Yes",K67="Info Request", K67="Side-Project"),0,(NETWORKDAYS(T67,U67,Holidays!A$2:A$13))-1)</f>
        <v>1</v>
      </c>
      <c r="AN67" s="16">
        <f>IF(OR(AC67="Yes",K67="Info Request", K67="Side-Project"),0,(NETWORKDAYS(U67,W67,Holidays!A$2:A$13))-1)</f>
        <v>1</v>
      </c>
      <c r="AO67" s="16">
        <f>IF(OR(V67="none"),0,((NETWORKDAYS(S67,V67,Holidays!A$2:A$13))-1))</f>
        <v>0</v>
      </c>
      <c r="AP67" s="16" t="b">
        <f t="shared" ref="AP67:AP130" si="6">OR(AO67&lt;=L67)</f>
        <v>1</v>
      </c>
      <c r="AQ67" s="16" t="b">
        <f t="shared" ref="AQ67:AQ130" si="7">OR(AM67&lt;=L67)</f>
        <v>1</v>
      </c>
      <c r="AR67" s="60" t="str">
        <f t="shared" ref="AR67:AR130" si="8">IF(AJ67 &gt; (N67 + O67), "too many URLs", "OK")</f>
        <v>OK</v>
      </c>
      <c r="AS67" s="60" t="str">
        <f>IF(table_data[[#This Row],[Flagged-Issues]] = 0, "", table_data[[#This Row],[Flagged-Issues]])</f>
        <v/>
      </c>
    </row>
    <row r="68" spans="1:45" x14ac:dyDescent="0.25">
      <c r="A68" t="s">
        <v>104</v>
      </c>
      <c r="B68" t="s">
        <v>121</v>
      </c>
      <c r="C68" t="s">
        <v>122</v>
      </c>
      <c r="D68" s="65">
        <v>202504021024</v>
      </c>
      <c r="E68" t="s">
        <v>198</v>
      </c>
      <c r="F68" t="s">
        <v>134</v>
      </c>
      <c r="G68"/>
      <c r="H68" t="s">
        <v>256</v>
      </c>
      <c r="I68" t="s">
        <v>126</v>
      </c>
      <c r="J68" t="s">
        <v>157</v>
      </c>
      <c r="K68" t="s">
        <v>128</v>
      </c>
      <c r="L68">
        <v>2</v>
      </c>
      <c r="M68" t="s">
        <v>189</v>
      </c>
      <c r="N68"/>
      <c r="O68">
        <v>2</v>
      </c>
      <c r="P68"/>
      <c r="Q68"/>
      <c r="R68"/>
      <c r="S68" s="72">
        <v>45750</v>
      </c>
      <c r="T68" s="72">
        <v>45750</v>
      </c>
      <c r="U68" s="72">
        <v>45750</v>
      </c>
      <c r="V68" s="72" t="s">
        <v>130</v>
      </c>
      <c r="W68" s="72">
        <v>45750</v>
      </c>
      <c r="X68" s="72" t="s">
        <v>130</v>
      </c>
      <c r="Y68" t="s">
        <v>146</v>
      </c>
      <c r="Z68" t="s">
        <v>147</v>
      </c>
      <c r="AA68" t="s">
        <v>131</v>
      </c>
      <c r="AB68" t="s">
        <v>132</v>
      </c>
      <c r="AC68" t="s">
        <v>131</v>
      </c>
      <c r="AD68" t="s">
        <v>131</v>
      </c>
      <c r="AE68" t="s">
        <v>131</v>
      </c>
      <c r="AF68" t="s">
        <v>131</v>
      </c>
      <c r="AG68" t="s">
        <v>131</v>
      </c>
      <c r="AH68" t="s">
        <v>131</v>
      </c>
      <c r="AI68" t="s">
        <v>132</v>
      </c>
      <c r="AJ68">
        <v>0</v>
      </c>
      <c r="AK68" t="s">
        <v>132</v>
      </c>
      <c r="AL68" t="s">
        <v>148</v>
      </c>
      <c r="AM68" s="16">
        <f>IF(OR(AC68="Yes",K68="Info Request", K68="Side-Project"),0,(NETWORKDAYS(T68,U68,Holidays!A$2:A$13))-1)</f>
        <v>0</v>
      </c>
      <c r="AN68" s="16">
        <f>IF(OR(AC68="Yes",K68="Info Request", K68="Side-Project"),0,(NETWORKDAYS(U68,W68,Holidays!A$2:A$13))-1)</f>
        <v>0</v>
      </c>
      <c r="AO68" s="16">
        <f>IF(OR(V68="none"),0,((NETWORKDAYS(S68,V68,Holidays!A$2:A$13))-1))</f>
        <v>0</v>
      </c>
      <c r="AP68" s="16" t="b">
        <f t="shared" si="6"/>
        <v>1</v>
      </c>
      <c r="AQ68" s="16" t="b">
        <f t="shared" si="7"/>
        <v>1</v>
      </c>
      <c r="AR68" s="60" t="str">
        <f t="shared" si="8"/>
        <v>OK</v>
      </c>
      <c r="AS68" s="60" t="str">
        <f>IF(table_data[[#This Row],[Flagged-Issues]] = 0, "", table_data[[#This Row],[Flagged-Issues]])</f>
        <v/>
      </c>
    </row>
    <row r="69" spans="1:45" x14ac:dyDescent="0.25">
      <c r="A69" t="s">
        <v>29</v>
      </c>
      <c r="B69" t="s">
        <v>121</v>
      </c>
      <c r="C69" t="s">
        <v>122</v>
      </c>
      <c r="D69" s="65">
        <v>202504040930</v>
      </c>
      <c r="E69" t="s">
        <v>257</v>
      </c>
      <c r="F69" t="s">
        <v>173</v>
      </c>
      <c r="G69"/>
      <c r="H69" t="s">
        <v>258</v>
      </c>
      <c r="I69" t="s">
        <v>126</v>
      </c>
      <c r="J69" t="s">
        <v>136</v>
      </c>
      <c r="K69" t="s">
        <v>128</v>
      </c>
      <c r="L69">
        <v>2</v>
      </c>
      <c r="M69" t="s">
        <v>137</v>
      </c>
      <c r="N69">
        <v>2</v>
      </c>
      <c r="O69"/>
      <c r="P69"/>
      <c r="Q69"/>
      <c r="R69"/>
      <c r="S69" s="72">
        <v>45751</v>
      </c>
      <c r="T69" s="72">
        <v>45751</v>
      </c>
      <c r="U69" s="72">
        <v>45751</v>
      </c>
      <c r="V69" s="72" t="s">
        <v>130</v>
      </c>
      <c r="W69" s="72">
        <v>45751</v>
      </c>
      <c r="X69" s="72" t="s">
        <v>130</v>
      </c>
      <c r="Y69"/>
      <c r="Z69"/>
      <c r="AA69" t="s">
        <v>131</v>
      </c>
      <c r="AB69" t="s">
        <v>132</v>
      </c>
      <c r="AC69" t="s">
        <v>131</v>
      </c>
      <c r="AD69" t="s">
        <v>131</v>
      </c>
      <c r="AE69" t="s">
        <v>131</v>
      </c>
      <c r="AF69" t="s">
        <v>131</v>
      </c>
      <c r="AG69" t="s">
        <v>131</v>
      </c>
      <c r="AH69" t="s">
        <v>131</v>
      </c>
      <c r="AI69" t="s">
        <v>131</v>
      </c>
      <c r="AJ69">
        <v>0</v>
      </c>
      <c r="AK69" t="s">
        <v>131</v>
      </c>
      <c r="AL69" t="s">
        <v>132</v>
      </c>
      <c r="AM69" s="16">
        <f>IF(OR(AC69="Yes",K69="Info Request", K69="Side-Project"),0,(NETWORKDAYS(T69,U69,Holidays!A$2:A$13))-1)</f>
        <v>0</v>
      </c>
      <c r="AN69" s="16">
        <f>IF(OR(AC69="Yes",K69="Info Request", K69="Side-Project"),0,(NETWORKDAYS(U69,W69,Holidays!A$2:A$13))-1)</f>
        <v>0</v>
      </c>
      <c r="AO69" s="16">
        <f>IF(OR(V69="none"),0,((NETWORKDAYS(S69,V69,Holidays!A$2:A$13))-1))</f>
        <v>0</v>
      </c>
      <c r="AP69" s="16" t="b">
        <f t="shared" si="6"/>
        <v>1</v>
      </c>
      <c r="AQ69" s="16" t="b">
        <f t="shared" si="7"/>
        <v>1</v>
      </c>
      <c r="AR69" s="60" t="str">
        <f t="shared" si="8"/>
        <v>OK</v>
      </c>
      <c r="AS69" s="60" t="str">
        <f>IF(table_data[[#This Row],[Flagged-Issues]] = 0, "", table_data[[#This Row],[Flagged-Issues]])</f>
        <v/>
      </c>
    </row>
    <row r="70" spans="1:45" x14ac:dyDescent="0.25">
      <c r="A70" t="s">
        <v>104</v>
      </c>
      <c r="B70" t="s">
        <v>121</v>
      </c>
      <c r="C70" t="s">
        <v>122</v>
      </c>
      <c r="D70" s="65">
        <v>202503261358</v>
      </c>
      <c r="E70" t="s">
        <v>253</v>
      </c>
      <c r="F70" t="s">
        <v>134</v>
      </c>
      <c r="G70"/>
      <c r="H70" t="s">
        <v>259</v>
      </c>
      <c r="I70" t="s">
        <v>126</v>
      </c>
      <c r="J70" t="s">
        <v>127</v>
      </c>
      <c r="K70" t="s">
        <v>255</v>
      </c>
      <c r="L70">
        <v>2</v>
      </c>
      <c r="M70" t="s">
        <v>177</v>
      </c>
      <c r="N70">
        <v>8</v>
      </c>
      <c r="O70"/>
      <c r="P70"/>
      <c r="Q70"/>
      <c r="R70"/>
      <c r="S70" s="72">
        <v>45742</v>
      </c>
      <c r="T70" s="72">
        <v>45747</v>
      </c>
      <c r="U70" s="72">
        <v>45749</v>
      </c>
      <c r="V70" s="72" t="s">
        <v>130</v>
      </c>
      <c r="W70" s="72">
        <v>45751</v>
      </c>
      <c r="X70" s="72" t="s">
        <v>130</v>
      </c>
      <c r="Y70" t="s">
        <v>146</v>
      </c>
      <c r="Z70" t="s">
        <v>147</v>
      </c>
      <c r="AA70" t="s">
        <v>131</v>
      </c>
      <c r="AB70" t="s">
        <v>131</v>
      </c>
      <c r="AC70" t="s">
        <v>131</v>
      </c>
      <c r="AD70" t="s">
        <v>131</v>
      </c>
      <c r="AE70" t="s">
        <v>131</v>
      </c>
      <c r="AF70" t="s">
        <v>131</v>
      </c>
      <c r="AG70" t="s">
        <v>132</v>
      </c>
      <c r="AH70" t="s">
        <v>131</v>
      </c>
      <c r="AI70" t="s">
        <v>132</v>
      </c>
      <c r="AJ70">
        <v>0</v>
      </c>
      <c r="AK70" t="s">
        <v>131</v>
      </c>
      <c r="AL70" t="s">
        <v>131</v>
      </c>
      <c r="AM70" s="16">
        <f>IF(OR(AC70="Yes",K70="Info Request", K70="Side-Project"),0,(NETWORKDAYS(T70,U70,Holidays!A$2:A$13))-1)</f>
        <v>2</v>
      </c>
      <c r="AN70" s="16">
        <f>IF(OR(AC70="Yes",K70="Info Request", K70="Side-Project"),0,(NETWORKDAYS(U70,W70,Holidays!A$2:A$13))-1)</f>
        <v>2</v>
      </c>
      <c r="AO70" s="16">
        <f>IF(OR(V70="none"),0,((NETWORKDAYS(S70,V70,Holidays!A$2:A$13))-1))</f>
        <v>0</v>
      </c>
      <c r="AP70" s="16" t="b">
        <f t="shared" si="6"/>
        <v>1</v>
      </c>
      <c r="AQ70" s="16" t="b">
        <f t="shared" si="7"/>
        <v>1</v>
      </c>
      <c r="AR70" s="60" t="str">
        <f t="shared" si="8"/>
        <v>OK</v>
      </c>
      <c r="AS70" s="60" t="str">
        <f>IF(table_data[[#This Row],[Flagged-Issues]] = 0, "", table_data[[#This Row],[Flagged-Issues]])</f>
        <v/>
      </c>
    </row>
    <row r="71" spans="1:45" x14ac:dyDescent="0.25">
      <c r="A71" t="s">
        <v>29</v>
      </c>
      <c r="B71" t="s">
        <v>121</v>
      </c>
      <c r="C71" t="s">
        <v>122</v>
      </c>
      <c r="D71" s="65">
        <v>202504040946</v>
      </c>
      <c r="E71" t="s">
        <v>246</v>
      </c>
      <c r="F71" t="s">
        <v>173</v>
      </c>
      <c r="G71"/>
      <c r="H71" t="s">
        <v>260</v>
      </c>
      <c r="I71" t="s">
        <v>126</v>
      </c>
      <c r="J71" t="s">
        <v>136</v>
      </c>
      <c r="K71" t="s">
        <v>128</v>
      </c>
      <c r="L71">
        <v>2</v>
      </c>
      <c r="M71" t="s">
        <v>261</v>
      </c>
      <c r="N71">
        <v>6</v>
      </c>
      <c r="O71"/>
      <c r="P71">
        <v>2</v>
      </c>
      <c r="Q71"/>
      <c r="R71">
        <v>1</v>
      </c>
      <c r="S71" s="72">
        <v>45751</v>
      </c>
      <c r="T71" s="72">
        <v>45751</v>
      </c>
      <c r="U71" s="72">
        <v>45751</v>
      </c>
      <c r="V71" s="72" t="s">
        <v>130</v>
      </c>
      <c r="W71" s="72">
        <v>45754</v>
      </c>
      <c r="X71" s="72" t="s">
        <v>130</v>
      </c>
      <c r="Y71"/>
      <c r="Z71"/>
      <c r="AA71" t="s">
        <v>131</v>
      </c>
      <c r="AB71" t="s">
        <v>132</v>
      </c>
      <c r="AC71" t="s">
        <v>131</v>
      </c>
      <c r="AD71" t="s">
        <v>131</v>
      </c>
      <c r="AE71" t="s">
        <v>131</v>
      </c>
      <c r="AF71" t="s">
        <v>131</v>
      </c>
      <c r="AG71" t="s">
        <v>131</v>
      </c>
      <c r="AH71" t="s">
        <v>131</v>
      </c>
      <c r="AI71" t="s">
        <v>131</v>
      </c>
      <c r="AJ71">
        <v>0</v>
      </c>
      <c r="AK71" t="s">
        <v>131</v>
      </c>
      <c r="AL71" t="s">
        <v>132</v>
      </c>
      <c r="AM71" s="16">
        <f>IF(OR(AC71="Yes",K71="Info Request", K71="Side-Project"),0,(NETWORKDAYS(T71,U71,Holidays!A$2:A$13))-1)</f>
        <v>0</v>
      </c>
      <c r="AN71" s="16">
        <f>IF(OR(AC71="Yes",K71="Info Request", K71="Side-Project"),0,(NETWORKDAYS(U71,W71,Holidays!A$2:A$13))-1)</f>
        <v>1</v>
      </c>
      <c r="AO71" s="16">
        <f>IF(OR(V71="none"),0,((NETWORKDAYS(S71,V71,Holidays!A$2:A$13))-1))</f>
        <v>0</v>
      </c>
      <c r="AP71" s="16" t="b">
        <f t="shared" si="6"/>
        <v>1</v>
      </c>
      <c r="AQ71" s="16" t="b">
        <f t="shared" si="7"/>
        <v>1</v>
      </c>
      <c r="AR71" s="60" t="str">
        <f t="shared" si="8"/>
        <v>OK</v>
      </c>
      <c r="AS71" s="60" t="str">
        <f>IF(table_data[[#This Row],[Flagged-Issues]] = 0, "", table_data[[#This Row],[Flagged-Issues]])</f>
        <v/>
      </c>
    </row>
    <row r="72" spans="1:45" x14ac:dyDescent="0.25">
      <c r="A72" t="s">
        <v>104</v>
      </c>
      <c r="B72" t="s">
        <v>121</v>
      </c>
      <c r="C72" t="s">
        <v>122</v>
      </c>
      <c r="D72" s="65">
        <v>202504031309</v>
      </c>
      <c r="E72" t="s">
        <v>198</v>
      </c>
      <c r="F72" t="s">
        <v>134</v>
      </c>
      <c r="G72"/>
      <c r="H72" t="s">
        <v>262</v>
      </c>
      <c r="I72" t="s">
        <v>126</v>
      </c>
      <c r="J72" t="s">
        <v>136</v>
      </c>
      <c r="K72" t="s">
        <v>128</v>
      </c>
      <c r="L72">
        <v>2</v>
      </c>
      <c r="M72" t="s">
        <v>137</v>
      </c>
      <c r="N72">
        <v>1</v>
      </c>
      <c r="O72"/>
      <c r="P72"/>
      <c r="Q72"/>
      <c r="R72"/>
      <c r="S72" s="72">
        <v>45750</v>
      </c>
      <c r="T72" s="72">
        <v>45750</v>
      </c>
      <c r="U72" s="72">
        <v>45750</v>
      </c>
      <c r="V72" s="72" t="s">
        <v>130</v>
      </c>
      <c r="W72" s="72">
        <v>45750</v>
      </c>
      <c r="X72" s="72" t="s">
        <v>130</v>
      </c>
      <c r="Y72"/>
      <c r="Z72"/>
      <c r="AA72" t="s">
        <v>131</v>
      </c>
      <c r="AB72" t="s">
        <v>132</v>
      </c>
      <c r="AC72" t="s">
        <v>131</v>
      </c>
      <c r="AD72" t="s">
        <v>131</v>
      </c>
      <c r="AE72" t="s">
        <v>131</v>
      </c>
      <c r="AF72" t="s">
        <v>131</v>
      </c>
      <c r="AG72" t="s">
        <v>131</v>
      </c>
      <c r="AH72" t="s">
        <v>131</v>
      </c>
      <c r="AI72" t="s">
        <v>131</v>
      </c>
      <c r="AJ72">
        <v>0</v>
      </c>
      <c r="AK72" t="s">
        <v>131</v>
      </c>
      <c r="AL72" t="s">
        <v>132</v>
      </c>
      <c r="AM72" s="16">
        <f>IF(OR(AC72="Yes",K72="Info Request", K72="Side-Project"),0,(NETWORKDAYS(T72,U72,Holidays!A$2:A$13))-1)</f>
        <v>0</v>
      </c>
      <c r="AN72" s="16">
        <f>IF(OR(AC72="Yes",K72="Info Request", K72="Side-Project"),0,(NETWORKDAYS(U72,W72,Holidays!A$2:A$13))-1)</f>
        <v>0</v>
      </c>
      <c r="AO72" s="16">
        <f>IF(OR(V72="none"),0,((NETWORKDAYS(S72,V72,Holidays!A$2:A$13))-1))</f>
        <v>0</v>
      </c>
      <c r="AP72" s="16" t="b">
        <f t="shared" si="6"/>
        <v>1</v>
      </c>
      <c r="AQ72" s="16" t="b">
        <f t="shared" si="7"/>
        <v>1</v>
      </c>
      <c r="AR72" s="60" t="str">
        <f t="shared" si="8"/>
        <v>OK</v>
      </c>
      <c r="AS72" s="60" t="str">
        <f>IF(table_data[[#This Row],[Flagged-Issues]] = 0, "", table_data[[#This Row],[Flagged-Issues]])</f>
        <v/>
      </c>
    </row>
    <row r="73" spans="1:45" x14ac:dyDescent="0.25">
      <c r="A73" t="s">
        <v>104</v>
      </c>
      <c r="B73" t="s">
        <v>121</v>
      </c>
      <c r="C73" t="s">
        <v>122</v>
      </c>
      <c r="D73" s="65">
        <v>202504041024</v>
      </c>
      <c r="E73" t="s">
        <v>263</v>
      </c>
      <c r="F73" t="s">
        <v>134</v>
      </c>
      <c r="G73"/>
      <c r="H73" t="s">
        <v>264</v>
      </c>
      <c r="I73" t="s">
        <v>126</v>
      </c>
      <c r="J73" t="s">
        <v>127</v>
      </c>
      <c r="K73" t="s">
        <v>128</v>
      </c>
      <c r="L73">
        <v>2</v>
      </c>
      <c r="M73" t="s">
        <v>129</v>
      </c>
      <c r="N73">
        <v>3</v>
      </c>
      <c r="O73"/>
      <c r="P73"/>
      <c r="Q73"/>
      <c r="R73"/>
      <c r="S73" s="72">
        <v>45751</v>
      </c>
      <c r="T73" s="72">
        <v>45751</v>
      </c>
      <c r="U73" s="72">
        <v>45751</v>
      </c>
      <c r="V73" s="72" t="s">
        <v>130</v>
      </c>
      <c r="W73" s="72">
        <v>45754</v>
      </c>
      <c r="X73" s="72" t="s">
        <v>130</v>
      </c>
      <c r="Y73"/>
      <c r="Z73"/>
      <c r="AA73" t="s">
        <v>131</v>
      </c>
      <c r="AB73" t="s">
        <v>132</v>
      </c>
      <c r="AC73" t="s">
        <v>131</v>
      </c>
      <c r="AD73" t="s">
        <v>131</v>
      </c>
      <c r="AE73" t="s">
        <v>131</v>
      </c>
      <c r="AF73" t="s">
        <v>131</v>
      </c>
      <c r="AG73" t="s">
        <v>131</v>
      </c>
      <c r="AH73" t="s">
        <v>131</v>
      </c>
      <c r="AI73" t="s">
        <v>131</v>
      </c>
      <c r="AJ73">
        <v>0</v>
      </c>
      <c r="AK73" t="s">
        <v>131</v>
      </c>
      <c r="AL73" t="s">
        <v>132</v>
      </c>
      <c r="AM73" s="16">
        <f>IF(OR(AC73="Yes",K73="Info Request", K73="Side-Project"),0,(NETWORKDAYS(T73,U73,Holidays!A$2:A$13))-1)</f>
        <v>0</v>
      </c>
      <c r="AN73" s="16">
        <f>IF(OR(AC73="Yes",K73="Info Request", K73="Side-Project"),0,(NETWORKDAYS(U73,W73,Holidays!A$2:A$13))-1)</f>
        <v>1</v>
      </c>
      <c r="AO73" s="16">
        <f>IF(OR(V73="none"),0,((NETWORKDAYS(S73,V73,Holidays!A$2:A$13))-1))</f>
        <v>0</v>
      </c>
      <c r="AP73" s="16" t="b">
        <f t="shared" si="6"/>
        <v>1</v>
      </c>
      <c r="AQ73" s="16" t="b">
        <f t="shared" si="7"/>
        <v>1</v>
      </c>
      <c r="AR73" s="60" t="str">
        <f t="shared" si="8"/>
        <v>OK</v>
      </c>
      <c r="AS73" s="60" t="str">
        <f>IF(table_data[[#This Row],[Flagged-Issues]] = 0, "", table_data[[#This Row],[Flagged-Issues]])</f>
        <v/>
      </c>
    </row>
    <row r="74" spans="1:45" x14ac:dyDescent="0.25">
      <c r="A74" t="s">
        <v>104</v>
      </c>
      <c r="B74" t="s">
        <v>121</v>
      </c>
      <c r="C74" t="s">
        <v>122</v>
      </c>
      <c r="D74" s="65">
        <v>202504041017</v>
      </c>
      <c r="E74" t="s">
        <v>133</v>
      </c>
      <c r="F74" t="s">
        <v>134</v>
      </c>
      <c r="G74"/>
      <c r="H74" t="s">
        <v>265</v>
      </c>
      <c r="I74" t="s">
        <v>126</v>
      </c>
      <c r="J74" t="s">
        <v>145</v>
      </c>
      <c r="K74" t="s">
        <v>128</v>
      </c>
      <c r="L74">
        <v>2</v>
      </c>
      <c r="M74" t="s">
        <v>129</v>
      </c>
      <c r="N74">
        <v>1</v>
      </c>
      <c r="O74"/>
      <c r="P74"/>
      <c r="Q74"/>
      <c r="R74"/>
      <c r="S74" s="72">
        <v>45751</v>
      </c>
      <c r="T74" s="72">
        <v>45754</v>
      </c>
      <c r="U74" s="72">
        <v>45754</v>
      </c>
      <c r="V74" s="72" t="s">
        <v>130</v>
      </c>
      <c r="W74" s="72">
        <v>45754</v>
      </c>
      <c r="X74" s="72" t="s">
        <v>130</v>
      </c>
      <c r="Y74" t="s">
        <v>146</v>
      </c>
      <c r="Z74" t="s">
        <v>147</v>
      </c>
      <c r="AA74" t="s">
        <v>131</v>
      </c>
      <c r="AB74" t="s">
        <v>132</v>
      </c>
      <c r="AC74" t="s">
        <v>131</v>
      </c>
      <c r="AD74" t="s">
        <v>131</v>
      </c>
      <c r="AE74" t="s">
        <v>131</v>
      </c>
      <c r="AF74" t="s">
        <v>131</v>
      </c>
      <c r="AG74" t="s">
        <v>131</v>
      </c>
      <c r="AH74" t="s">
        <v>131</v>
      </c>
      <c r="AI74" t="s">
        <v>132</v>
      </c>
      <c r="AJ74">
        <v>0</v>
      </c>
      <c r="AK74" t="s">
        <v>131</v>
      </c>
      <c r="AL74" t="s">
        <v>148</v>
      </c>
      <c r="AM74" s="16">
        <f>IF(OR(AC74="Yes",K74="Info Request", K74="Side-Project"),0,(NETWORKDAYS(T74,U74,Holidays!A$2:A$13))-1)</f>
        <v>0</v>
      </c>
      <c r="AN74" s="16">
        <f>IF(OR(AC74="Yes",K74="Info Request", K74="Side-Project"),0,(NETWORKDAYS(U74,W74,Holidays!A$2:A$13))-1)</f>
        <v>0</v>
      </c>
      <c r="AO74" s="16">
        <f>IF(OR(V74="none"),0,((NETWORKDAYS(S74,V74,Holidays!A$2:A$13))-1))</f>
        <v>0</v>
      </c>
      <c r="AP74" s="16" t="b">
        <f t="shared" si="6"/>
        <v>1</v>
      </c>
      <c r="AQ74" s="16" t="b">
        <f t="shared" si="7"/>
        <v>1</v>
      </c>
      <c r="AR74" s="60" t="str">
        <f t="shared" si="8"/>
        <v>OK</v>
      </c>
      <c r="AS74" s="60" t="str">
        <f>IF(table_data[[#This Row],[Flagged-Issues]] = 0, "", table_data[[#This Row],[Flagged-Issues]])</f>
        <v/>
      </c>
    </row>
    <row r="75" spans="1:45" x14ac:dyDescent="0.25">
      <c r="A75" t="s">
        <v>104</v>
      </c>
      <c r="B75" t="s">
        <v>121</v>
      </c>
      <c r="C75" t="s">
        <v>122</v>
      </c>
      <c r="D75" s="65">
        <v>202504041053</v>
      </c>
      <c r="E75" t="s">
        <v>198</v>
      </c>
      <c r="F75" t="s">
        <v>134</v>
      </c>
      <c r="G75"/>
      <c r="H75" t="s">
        <v>266</v>
      </c>
      <c r="I75" t="s">
        <v>126</v>
      </c>
      <c r="J75" t="s">
        <v>136</v>
      </c>
      <c r="K75" t="s">
        <v>128</v>
      </c>
      <c r="L75">
        <v>2</v>
      </c>
      <c r="M75" t="s">
        <v>137</v>
      </c>
      <c r="N75">
        <v>2</v>
      </c>
      <c r="O75"/>
      <c r="P75"/>
      <c r="Q75"/>
      <c r="R75"/>
      <c r="S75" s="72">
        <v>45751</v>
      </c>
      <c r="T75" s="72">
        <v>45754</v>
      </c>
      <c r="U75" s="72">
        <v>45754</v>
      </c>
      <c r="V75" s="72" t="s">
        <v>130</v>
      </c>
      <c r="W75" s="72">
        <v>45754</v>
      </c>
      <c r="X75" s="72" t="s">
        <v>130</v>
      </c>
      <c r="Y75"/>
      <c r="Z75"/>
      <c r="AA75" t="s">
        <v>131</v>
      </c>
      <c r="AB75" t="s">
        <v>132</v>
      </c>
      <c r="AC75" t="s">
        <v>131</v>
      </c>
      <c r="AD75" t="s">
        <v>131</v>
      </c>
      <c r="AE75" t="s">
        <v>131</v>
      </c>
      <c r="AF75" t="s">
        <v>131</v>
      </c>
      <c r="AG75" t="s">
        <v>131</v>
      </c>
      <c r="AH75" t="s">
        <v>131</v>
      </c>
      <c r="AI75" t="s">
        <v>131</v>
      </c>
      <c r="AJ75">
        <v>0</v>
      </c>
      <c r="AK75" t="s">
        <v>131</v>
      </c>
      <c r="AL75" t="s">
        <v>132</v>
      </c>
      <c r="AM75" s="16">
        <f>IF(OR(AC75="Yes",K75="Info Request", K75="Side-Project"),0,(NETWORKDAYS(T75,U75,Holidays!A$2:A$13))-1)</f>
        <v>0</v>
      </c>
      <c r="AN75" s="16">
        <f>IF(OR(AC75="Yes",K75="Info Request", K75="Side-Project"),0,(NETWORKDAYS(U75,W75,Holidays!A$2:A$13))-1)</f>
        <v>0</v>
      </c>
      <c r="AO75" s="16">
        <f>IF(OR(V75="none"),0,((NETWORKDAYS(S75,V75,Holidays!A$2:A$13))-1))</f>
        <v>0</v>
      </c>
      <c r="AP75" s="16" t="b">
        <f t="shared" si="6"/>
        <v>1</v>
      </c>
      <c r="AQ75" s="16" t="b">
        <f t="shared" si="7"/>
        <v>1</v>
      </c>
      <c r="AR75" s="60" t="str">
        <f t="shared" si="8"/>
        <v>OK</v>
      </c>
      <c r="AS75" s="60" t="str">
        <f>IF(table_data[[#This Row],[Flagged-Issues]] = 0, "", table_data[[#This Row],[Flagged-Issues]])</f>
        <v/>
      </c>
    </row>
    <row r="76" spans="1:45" x14ac:dyDescent="0.25">
      <c r="A76" t="s">
        <v>29</v>
      </c>
      <c r="B76" t="s">
        <v>121</v>
      </c>
      <c r="C76" t="s">
        <v>122</v>
      </c>
      <c r="D76" s="65">
        <v>202504071513</v>
      </c>
      <c r="E76" t="s">
        <v>233</v>
      </c>
      <c r="F76" t="s">
        <v>134</v>
      </c>
      <c r="G76"/>
      <c r="H76" t="s">
        <v>267</v>
      </c>
      <c r="I76" t="s">
        <v>126</v>
      </c>
      <c r="J76" t="s">
        <v>127</v>
      </c>
      <c r="K76" t="s">
        <v>128</v>
      </c>
      <c r="L76">
        <v>2</v>
      </c>
      <c r="M76" t="s">
        <v>143</v>
      </c>
      <c r="N76">
        <v>2</v>
      </c>
      <c r="O76"/>
      <c r="P76"/>
      <c r="Q76"/>
      <c r="R76"/>
      <c r="S76" s="72">
        <v>45754</v>
      </c>
      <c r="T76" s="72">
        <v>45755</v>
      </c>
      <c r="U76" s="72">
        <v>45755</v>
      </c>
      <c r="V76" s="72" t="s">
        <v>130</v>
      </c>
      <c r="W76" s="72">
        <v>45756</v>
      </c>
      <c r="X76" s="72" t="s">
        <v>130</v>
      </c>
      <c r="Y76"/>
      <c r="Z76"/>
      <c r="AA76" t="s">
        <v>131</v>
      </c>
      <c r="AB76" t="s">
        <v>131</v>
      </c>
      <c r="AC76" t="s">
        <v>131</v>
      </c>
      <c r="AD76" t="s">
        <v>131</v>
      </c>
      <c r="AE76" t="s">
        <v>131</v>
      </c>
      <c r="AF76" t="s">
        <v>131</v>
      </c>
      <c r="AG76" t="s">
        <v>131</v>
      </c>
      <c r="AH76" t="s">
        <v>131</v>
      </c>
      <c r="AI76" t="s">
        <v>131</v>
      </c>
      <c r="AJ76">
        <v>0</v>
      </c>
      <c r="AK76" t="s">
        <v>131</v>
      </c>
      <c r="AL76" t="s">
        <v>132</v>
      </c>
      <c r="AM76" s="16">
        <f>IF(OR(AC76="Yes",K76="Info Request", K76="Side-Project"),0,(NETWORKDAYS(T76,U76,Holidays!A$2:A$13))-1)</f>
        <v>0</v>
      </c>
      <c r="AN76" s="16">
        <f>IF(OR(AC76="Yes",K76="Info Request", K76="Side-Project"),0,(NETWORKDAYS(U76,W76,Holidays!A$2:A$13))-1)</f>
        <v>1</v>
      </c>
      <c r="AO76" s="16">
        <f>IF(OR(V76="none"),0,((NETWORKDAYS(S76,V76,Holidays!A$2:A$13))-1))</f>
        <v>0</v>
      </c>
      <c r="AP76" s="16" t="b">
        <f t="shared" si="6"/>
        <v>1</v>
      </c>
      <c r="AQ76" s="16" t="b">
        <f t="shared" si="7"/>
        <v>1</v>
      </c>
      <c r="AR76" s="60" t="str">
        <f t="shared" si="8"/>
        <v>OK</v>
      </c>
      <c r="AS76" s="60" t="str">
        <f>IF(table_data[[#This Row],[Flagged-Issues]] = 0, "", table_data[[#This Row],[Flagged-Issues]])</f>
        <v/>
      </c>
    </row>
    <row r="77" spans="1:45" x14ac:dyDescent="0.25">
      <c r="A77" t="s">
        <v>104</v>
      </c>
      <c r="B77" t="s">
        <v>121</v>
      </c>
      <c r="C77" t="s">
        <v>122</v>
      </c>
      <c r="D77" s="65">
        <v>202504071343</v>
      </c>
      <c r="E77" t="s">
        <v>133</v>
      </c>
      <c r="F77" t="s">
        <v>134</v>
      </c>
      <c r="G77"/>
      <c r="H77" t="s">
        <v>268</v>
      </c>
      <c r="I77" t="s">
        <v>126</v>
      </c>
      <c r="J77" t="s">
        <v>151</v>
      </c>
      <c r="K77" t="s">
        <v>128</v>
      </c>
      <c r="L77">
        <v>2</v>
      </c>
      <c r="M77" t="s">
        <v>158</v>
      </c>
      <c r="N77">
        <v>1</v>
      </c>
      <c r="O77"/>
      <c r="P77"/>
      <c r="Q77"/>
      <c r="R77"/>
      <c r="S77" s="72">
        <v>45754</v>
      </c>
      <c r="T77" s="72">
        <v>45754</v>
      </c>
      <c r="U77" s="72">
        <v>45754</v>
      </c>
      <c r="V77" s="72" t="s">
        <v>130</v>
      </c>
      <c r="W77" s="72">
        <v>45755</v>
      </c>
      <c r="X77" s="72" t="s">
        <v>130</v>
      </c>
      <c r="Y77" t="s">
        <v>146</v>
      </c>
      <c r="Z77" t="s">
        <v>147</v>
      </c>
      <c r="AA77" t="s">
        <v>131</v>
      </c>
      <c r="AB77" t="s">
        <v>132</v>
      </c>
      <c r="AC77" t="s">
        <v>131</v>
      </c>
      <c r="AD77" t="s">
        <v>131</v>
      </c>
      <c r="AE77" t="s">
        <v>131</v>
      </c>
      <c r="AF77" t="s">
        <v>131</v>
      </c>
      <c r="AG77" t="s">
        <v>131</v>
      </c>
      <c r="AH77" t="s">
        <v>131</v>
      </c>
      <c r="AI77" t="s">
        <v>131</v>
      </c>
      <c r="AJ77">
        <v>0</v>
      </c>
      <c r="AK77" t="s">
        <v>131</v>
      </c>
      <c r="AL77" t="s">
        <v>148</v>
      </c>
      <c r="AM77" s="16">
        <f>IF(OR(AC77="Yes",K77="Info Request", K77="Side-Project"),0,(NETWORKDAYS(T77,U77,Holidays!A$2:A$13))-1)</f>
        <v>0</v>
      </c>
      <c r="AN77" s="16">
        <f>IF(OR(AC77="Yes",K77="Info Request", K77="Side-Project"),0,(NETWORKDAYS(U77,W77,Holidays!A$2:A$13))-1)</f>
        <v>1</v>
      </c>
      <c r="AO77" s="16">
        <f>IF(OR(V77="none"),0,((NETWORKDAYS(S77,V77,Holidays!A$2:A$13))-1))</f>
        <v>0</v>
      </c>
      <c r="AP77" s="16" t="b">
        <f t="shared" si="6"/>
        <v>1</v>
      </c>
      <c r="AQ77" s="16" t="b">
        <f t="shared" si="7"/>
        <v>1</v>
      </c>
      <c r="AR77" s="60" t="str">
        <f t="shared" si="8"/>
        <v>OK</v>
      </c>
      <c r="AS77" s="60" t="str">
        <f>IF(table_data[[#This Row],[Flagged-Issues]] = 0, "", table_data[[#This Row],[Flagged-Issues]])</f>
        <v/>
      </c>
    </row>
    <row r="78" spans="1:45" x14ac:dyDescent="0.25">
      <c r="A78" t="s">
        <v>29</v>
      </c>
      <c r="B78" t="s">
        <v>121</v>
      </c>
      <c r="C78" t="s">
        <v>122</v>
      </c>
      <c r="D78" s="65">
        <v>202504070410</v>
      </c>
      <c r="E78" t="s">
        <v>180</v>
      </c>
      <c r="F78" t="s">
        <v>173</v>
      </c>
      <c r="G78"/>
      <c r="H78" t="s">
        <v>269</v>
      </c>
      <c r="I78"/>
      <c r="J78" t="s">
        <v>249</v>
      </c>
      <c r="K78" t="s">
        <v>128</v>
      </c>
      <c r="L78">
        <v>2</v>
      </c>
      <c r="M78" t="s">
        <v>270</v>
      </c>
      <c r="N78">
        <v>2</v>
      </c>
      <c r="O78">
        <v>2</v>
      </c>
      <c r="P78">
        <v>1</v>
      </c>
      <c r="Q78"/>
      <c r="R78"/>
      <c r="S78" s="72">
        <v>45754</v>
      </c>
      <c r="T78" s="72">
        <v>45754</v>
      </c>
      <c r="U78" s="72">
        <v>45754</v>
      </c>
      <c r="V78" s="72" t="s">
        <v>130</v>
      </c>
      <c r="W78" s="72">
        <v>45755</v>
      </c>
      <c r="X78" s="72" t="s">
        <v>130</v>
      </c>
      <c r="Y78" t="s">
        <v>146</v>
      </c>
      <c r="Z78" s="1" t="s">
        <v>147</v>
      </c>
      <c r="AA78" t="s">
        <v>131</v>
      </c>
      <c r="AB78" t="s">
        <v>131</v>
      </c>
      <c r="AC78" t="s">
        <v>131</v>
      </c>
      <c r="AD78" t="s">
        <v>131</v>
      </c>
      <c r="AE78" t="s">
        <v>131</v>
      </c>
      <c r="AF78" t="s">
        <v>131</v>
      </c>
      <c r="AG78" t="s">
        <v>131</v>
      </c>
      <c r="AH78" t="s">
        <v>131</v>
      </c>
      <c r="AI78" t="s">
        <v>131</v>
      </c>
      <c r="AJ78">
        <v>0</v>
      </c>
      <c r="AK78" t="s">
        <v>131</v>
      </c>
      <c r="AL78" t="s">
        <v>148</v>
      </c>
      <c r="AM78" s="16">
        <f>IF(OR(AC78="Yes",K78="Info Request", K78="Side-Project"),0,(NETWORKDAYS(T78,U78,Holidays!A$2:A$13))-1)</f>
        <v>0</v>
      </c>
      <c r="AN78" s="16">
        <f>IF(OR(AC78="Yes",K78="Info Request", K78="Side-Project"),0,(NETWORKDAYS(U78,W78,Holidays!A$2:A$13))-1)</f>
        <v>1</v>
      </c>
      <c r="AO78" s="16">
        <f>IF(OR(V78="none"),0,((NETWORKDAYS(S78,V78,Holidays!A$2:A$13))-1))</f>
        <v>0</v>
      </c>
      <c r="AP78" s="16" t="b">
        <f t="shared" si="6"/>
        <v>1</v>
      </c>
      <c r="AQ78" s="16" t="b">
        <f t="shared" si="7"/>
        <v>1</v>
      </c>
      <c r="AR78" s="60" t="str">
        <f t="shared" si="8"/>
        <v>OK</v>
      </c>
      <c r="AS78" s="60" t="str">
        <f>IF(table_data[[#This Row],[Flagged-Issues]] = 0, "", table_data[[#This Row],[Flagged-Issues]])</f>
        <v/>
      </c>
    </row>
    <row r="79" spans="1:45" x14ac:dyDescent="0.25">
      <c r="A79" t="s">
        <v>104</v>
      </c>
      <c r="B79" t="s">
        <v>121</v>
      </c>
      <c r="C79" t="s">
        <v>122</v>
      </c>
      <c r="D79" s="65">
        <v>202504081012</v>
      </c>
      <c r="E79" t="s">
        <v>133</v>
      </c>
      <c r="F79" t="s">
        <v>134</v>
      </c>
      <c r="G79"/>
      <c r="H79" t="s">
        <v>271</v>
      </c>
      <c r="I79" t="s">
        <v>126</v>
      </c>
      <c r="J79" t="s">
        <v>157</v>
      </c>
      <c r="K79" t="s">
        <v>128</v>
      </c>
      <c r="L79">
        <v>2</v>
      </c>
      <c r="M79" t="s">
        <v>160</v>
      </c>
      <c r="N79">
        <v>1</v>
      </c>
      <c r="O79"/>
      <c r="P79"/>
      <c r="Q79"/>
      <c r="R79"/>
      <c r="S79" s="72">
        <v>45755</v>
      </c>
      <c r="T79" s="72">
        <v>45755</v>
      </c>
      <c r="U79" s="72">
        <v>45755</v>
      </c>
      <c r="V79" s="72" t="s">
        <v>130</v>
      </c>
      <c r="W79" s="72">
        <v>45755</v>
      </c>
      <c r="X79" s="72" t="s">
        <v>130</v>
      </c>
      <c r="Y79"/>
      <c r="Z79"/>
      <c r="AA79" t="s">
        <v>131</v>
      </c>
      <c r="AB79" t="s">
        <v>132</v>
      </c>
      <c r="AC79" t="s">
        <v>131</v>
      </c>
      <c r="AD79" t="s">
        <v>131</v>
      </c>
      <c r="AE79" t="s">
        <v>131</v>
      </c>
      <c r="AF79" t="s">
        <v>131</v>
      </c>
      <c r="AG79" t="s">
        <v>131</v>
      </c>
      <c r="AH79" t="s">
        <v>131</v>
      </c>
      <c r="AI79" t="s">
        <v>132</v>
      </c>
      <c r="AJ79">
        <v>0</v>
      </c>
      <c r="AK79" t="s">
        <v>131</v>
      </c>
      <c r="AL79" t="s">
        <v>132</v>
      </c>
      <c r="AM79" s="16">
        <f>IF(OR(AC79="Yes",K79="Info Request", K79="Side-Project"),0,(NETWORKDAYS(T79,U79,Holidays!A$2:A$13))-1)</f>
        <v>0</v>
      </c>
      <c r="AN79" s="16">
        <f>IF(OR(AC79="Yes",K79="Info Request", K79="Side-Project"),0,(NETWORKDAYS(U79,W79,Holidays!A$2:A$13))-1)</f>
        <v>0</v>
      </c>
      <c r="AO79" s="16">
        <f>IF(OR(V79="none"),0,((NETWORKDAYS(S79,V79,Holidays!A$2:A$13))-1))</f>
        <v>0</v>
      </c>
      <c r="AP79" s="16" t="b">
        <f t="shared" si="6"/>
        <v>1</v>
      </c>
      <c r="AQ79" s="16" t="b">
        <f t="shared" si="7"/>
        <v>1</v>
      </c>
      <c r="AR79" s="60" t="str">
        <f t="shared" si="8"/>
        <v>OK</v>
      </c>
      <c r="AS79" s="60" t="str">
        <f>IF(table_data[[#This Row],[Flagged-Issues]] = 0, "", table_data[[#This Row],[Flagged-Issues]])</f>
        <v/>
      </c>
    </row>
    <row r="80" spans="1:45" x14ac:dyDescent="0.25">
      <c r="A80" t="s">
        <v>29</v>
      </c>
      <c r="B80" t="s">
        <v>121</v>
      </c>
      <c r="C80" t="s">
        <v>122</v>
      </c>
      <c r="D80" s="65">
        <v>202504081417</v>
      </c>
      <c r="E80" t="s">
        <v>223</v>
      </c>
      <c r="F80" t="s">
        <v>173</v>
      </c>
      <c r="G80"/>
      <c r="H80" t="s">
        <v>272</v>
      </c>
      <c r="I80" t="s">
        <v>126</v>
      </c>
      <c r="J80" t="s">
        <v>136</v>
      </c>
      <c r="K80" t="s">
        <v>128</v>
      </c>
      <c r="L80">
        <v>2</v>
      </c>
      <c r="M80" t="s">
        <v>137</v>
      </c>
      <c r="N80">
        <v>2</v>
      </c>
      <c r="O80"/>
      <c r="P80"/>
      <c r="Q80"/>
      <c r="R80"/>
      <c r="S80" s="72">
        <v>45755</v>
      </c>
      <c r="T80" s="72">
        <v>45756</v>
      </c>
      <c r="U80" s="72">
        <v>45756</v>
      </c>
      <c r="V80" s="72" t="s">
        <v>130</v>
      </c>
      <c r="W80" s="72">
        <v>45756</v>
      </c>
      <c r="X80" s="72" t="s">
        <v>130</v>
      </c>
      <c r="Y80"/>
      <c r="Z80"/>
      <c r="AA80" t="s">
        <v>131</v>
      </c>
      <c r="AB80" t="s">
        <v>132</v>
      </c>
      <c r="AC80" t="s">
        <v>131</v>
      </c>
      <c r="AD80" t="s">
        <v>131</v>
      </c>
      <c r="AE80" t="s">
        <v>131</v>
      </c>
      <c r="AF80" t="s">
        <v>131</v>
      </c>
      <c r="AG80" t="s">
        <v>131</v>
      </c>
      <c r="AH80" t="s">
        <v>131</v>
      </c>
      <c r="AI80" t="s">
        <v>131</v>
      </c>
      <c r="AJ80">
        <v>0</v>
      </c>
      <c r="AK80" t="s">
        <v>131</v>
      </c>
      <c r="AL80" t="s">
        <v>132</v>
      </c>
      <c r="AM80" s="16">
        <f>IF(OR(AC80="Yes",K80="Info Request", K80="Side-Project"),0,(NETWORKDAYS(T80,U80,Holidays!A$2:A$13))-1)</f>
        <v>0</v>
      </c>
      <c r="AN80" s="16">
        <f>IF(OR(AC80="Yes",K80="Info Request", K80="Side-Project"),0,(NETWORKDAYS(U80,W80,Holidays!A$2:A$13))-1)</f>
        <v>0</v>
      </c>
      <c r="AO80" s="16">
        <f>IF(OR(V80="none"),0,((NETWORKDAYS(S80,V80,Holidays!A$2:A$13))-1))</f>
        <v>0</v>
      </c>
      <c r="AP80" s="16" t="b">
        <f t="shared" si="6"/>
        <v>1</v>
      </c>
      <c r="AQ80" s="16" t="b">
        <f t="shared" si="7"/>
        <v>1</v>
      </c>
      <c r="AR80" s="60" t="str">
        <f t="shared" si="8"/>
        <v>OK</v>
      </c>
      <c r="AS80" s="60" t="str">
        <f>IF(table_data[[#This Row],[Flagged-Issues]] = 0, "", table_data[[#This Row],[Flagged-Issues]])</f>
        <v/>
      </c>
    </row>
    <row r="81" spans="1:45" x14ac:dyDescent="0.25">
      <c r="A81" t="s">
        <v>104</v>
      </c>
      <c r="B81" t="s">
        <v>121</v>
      </c>
      <c r="C81" t="s">
        <v>122</v>
      </c>
      <c r="D81" s="65">
        <v>202504161117</v>
      </c>
      <c r="E81" t="s">
        <v>273</v>
      </c>
      <c r="F81" t="s">
        <v>134</v>
      </c>
      <c r="G81" t="s">
        <v>274</v>
      </c>
      <c r="H81" t="s">
        <v>275</v>
      </c>
      <c r="I81" t="s">
        <v>126</v>
      </c>
      <c r="J81" t="s">
        <v>157</v>
      </c>
      <c r="K81" t="s">
        <v>128</v>
      </c>
      <c r="L81">
        <v>3</v>
      </c>
      <c r="M81" t="s">
        <v>175</v>
      </c>
      <c r="N81">
        <v>18</v>
      </c>
      <c r="O81"/>
      <c r="P81"/>
      <c r="Q81"/>
      <c r="R81"/>
      <c r="S81" s="72">
        <v>45763</v>
      </c>
      <c r="T81" s="72">
        <v>45763</v>
      </c>
      <c r="U81" s="72">
        <v>45763</v>
      </c>
      <c r="V81" s="72" t="s">
        <v>130</v>
      </c>
      <c r="W81" s="72">
        <v>45764</v>
      </c>
      <c r="X81" s="72" t="s">
        <v>130</v>
      </c>
      <c r="Y81" t="s">
        <v>146</v>
      </c>
      <c r="Z81" t="s">
        <v>147</v>
      </c>
      <c r="AA81" t="s">
        <v>131</v>
      </c>
      <c r="AB81" t="s">
        <v>132</v>
      </c>
      <c r="AC81" t="s">
        <v>131</v>
      </c>
      <c r="AD81" t="s">
        <v>131</v>
      </c>
      <c r="AE81" t="s">
        <v>131</v>
      </c>
      <c r="AF81" t="s">
        <v>131</v>
      </c>
      <c r="AG81" t="s">
        <v>131</v>
      </c>
      <c r="AH81" t="s">
        <v>131</v>
      </c>
      <c r="AI81" t="s">
        <v>132</v>
      </c>
      <c r="AJ81">
        <v>0</v>
      </c>
      <c r="AK81" t="s">
        <v>131</v>
      </c>
      <c r="AL81" t="s">
        <v>148</v>
      </c>
      <c r="AM81" s="16">
        <f>IF(OR(AC81="Yes",K81="Info Request", K81="Side-Project"),0,(NETWORKDAYS(T81,U81,Holidays!A$2:A$13))-1)</f>
        <v>0</v>
      </c>
      <c r="AN81" s="16">
        <f>IF(OR(AC81="Yes",K81="Info Request", K81="Side-Project"),0,(NETWORKDAYS(U81,W81,Holidays!A$2:A$13))-1)</f>
        <v>1</v>
      </c>
      <c r="AO81" s="16">
        <f>IF(OR(V81="none"),0,((NETWORKDAYS(S81,V81,Holidays!A$2:A$13))-1))</f>
        <v>0</v>
      </c>
      <c r="AP81" s="16" t="b">
        <f t="shared" si="6"/>
        <v>1</v>
      </c>
      <c r="AQ81" s="16" t="b">
        <f t="shared" si="7"/>
        <v>1</v>
      </c>
      <c r="AR81" s="60" t="str">
        <f t="shared" si="8"/>
        <v>OK</v>
      </c>
      <c r="AS81" s="60" t="str">
        <f>IF(table_data[[#This Row],[Flagged-Issues]] = 0, "", table_data[[#This Row],[Flagged-Issues]])</f>
        <v/>
      </c>
    </row>
    <row r="82" spans="1:45" x14ac:dyDescent="0.25">
      <c r="A82" t="s">
        <v>104</v>
      </c>
      <c r="B82" t="s">
        <v>121</v>
      </c>
      <c r="C82" t="s">
        <v>122</v>
      </c>
      <c r="D82" s="65">
        <v>202504221402</v>
      </c>
      <c r="E82" t="s">
        <v>273</v>
      </c>
      <c r="F82" t="s">
        <v>134</v>
      </c>
      <c r="G82"/>
      <c r="H82" t="s">
        <v>276</v>
      </c>
      <c r="I82" t="s">
        <v>126</v>
      </c>
      <c r="J82" t="s">
        <v>167</v>
      </c>
      <c r="K82" t="s">
        <v>255</v>
      </c>
      <c r="L82">
        <v>2</v>
      </c>
      <c r="M82" t="s">
        <v>129</v>
      </c>
      <c r="N82">
        <v>6</v>
      </c>
      <c r="O82"/>
      <c r="P82"/>
      <c r="Q82"/>
      <c r="R82"/>
      <c r="S82" s="72">
        <v>45769</v>
      </c>
      <c r="T82" s="72">
        <v>45769</v>
      </c>
      <c r="U82" s="72">
        <v>45769</v>
      </c>
      <c r="V82" s="72" t="s">
        <v>130</v>
      </c>
      <c r="W82" s="72">
        <v>45770</v>
      </c>
      <c r="X82" s="72" t="s">
        <v>130</v>
      </c>
      <c r="Y82" t="s">
        <v>146</v>
      </c>
      <c r="Z82" t="s">
        <v>147</v>
      </c>
      <c r="AA82" t="s">
        <v>131</v>
      </c>
      <c r="AB82" t="s">
        <v>132</v>
      </c>
      <c r="AC82" t="s">
        <v>131</v>
      </c>
      <c r="AD82" t="s">
        <v>131</v>
      </c>
      <c r="AE82" t="s">
        <v>131</v>
      </c>
      <c r="AF82" t="s">
        <v>131</v>
      </c>
      <c r="AG82" t="s">
        <v>131</v>
      </c>
      <c r="AH82" t="s">
        <v>131</v>
      </c>
      <c r="AI82" t="s">
        <v>132</v>
      </c>
      <c r="AJ82">
        <v>0</v>
      </c>
      <c r="AK82" t="s">
        <v>131</v>
      </c>
      <c r="AL82" t="s">
        <v>148</v>
      </c>
      <c r="AM82" s="16">
        <f>IF(OR(AC82="Yes",K82="Info Request", K82="Side-Project"),0,(NETWORKDAYS(T82,U82,Holidays!A$2:A$13))-1)</f>
        <v>0</v>
      </c>
      <c r="AN82" s="16">
        <f>IF(OR(AC82="Yes",K82="Info Request", K82="Side-Project"),0,(NETWORKDAYS(U82,W82,Holidays!A$2:A$13))-1)</f>
        <v>1</v>
      </c>
      <c r="AO82" s="16">
        <f>IF(OR(V82="none"),0,((NETWORKDAYS(S82,V82,Holidays!A$2:A$13))-1))</f>
        <v>0</v>
      </c>
      <c r="AP82" s="16" t="b">
        <f t="shared" si="6"/>
        <v>1</v>
      </c>
      <c r="AQ82" s="16" t="b">
        <f t="shared" si="7"/>
        <v>1</v>
      </c>
      <c r="AR82" s="60" t="str">
        <f t="shared" si="8"/>
        <v>OK</v>
      </c>
      <c r="AS82" s="60" t="str">
        <f>IF(table_data[[#This Row],[Flagged-Issues]] = 0, "", table_data[[#This Row],[Flagged-Issues]])</f>
        <v/>
      </c>
    </row>
    <row r="83" spans="1:45" x14ac:dyDescent="0.25">
      <c r="A83" t="s">
        <v>104</v>
      </c>
      <c r="B83" t="s">
        <v>121</v>
      </c>
      <c r="C83" t="s">
        <v>122</v>
      </c>
      <c r="D83" s="65">
        <v>202504171419</v>
      </c>
      <c r="E83" t="s">
        <v>233</v>
      </c>
      <c r="F83" t="s">
        <v>134</v>
      </c>
      <c r="G83"/>
      <c r="H83" t="s">
        <v>277</v>
      </c>
      <c r="I83" t="s">
        <v>126</v>
      </c>
      <c r="J83" t="s">
        <v>151</v>
      </c>
      <c r="K83" t="s">
        <v>128</v>
      </c>
      <c r="L83">
        <v>2</v>
      </c>
      <c r="M83" t="s">
        <v>129</v>
      </c>
      <c r="N83">
        <v>2</v>
      </c>
      <c r="O83"/>
      <c r="P83"/>
      <c r="Q83"/>
      <c r="R83"/>
      <c r="S83" s="72">
        <v>45764</v>
      </c>
      <c r="T83" s="72">
        <v>45764</v>
      </c>
      <c r="U83" s="72">
        <v>45764</v>
      </c>
      <c r="V83" s="72" t="s">
        <v>130</v>
      </c>
      <c r="W83" s="72">
        <v>45764</v>
      </c>
      <c r="X83" s="72" t="s">
        <v>130</v>
      </c>
      <c r="Y83"/>
      <c r="Z83"/>
      <c r="AA83" t="s">
        <v>131</v>
      </c>
      <c r="AB83" t="s">
        <v>132</v>
      </c>
      <c r="AC83" t="s">
        <v>131</v>
      </c>
      <c r="AD83" t="s">
        <v>131</v>
      </c>
      <c r="AE83" t="s">
        <v>131</v>
      </c>
      <c r="AF83" t="s">
        <v>131</v>
      </c>
      <c r="AG83" t="s">
        <v>131</v>
      </c>
      <c r="AH83" t="s">
        <v>131</v>
      </c>
      <c r="AI83" t="s">
        <v>131</v>
      </c>
      <c r="AJ83">
        <v>0</v>
      </c>
      <c r="AK83" t="s">
        <v>131</v>
      </c>
      <c r="AL83" t="s">
        <v>132</v>
      </c>
      <c r="AM83" s="16">
        <f>IF(OR(AC83="Yes",K83="Info Request", K83="Side-Project"),0,(NETWORKDAYS(T83,U83,Holidays!A$2:A$13))-1)</f>
        <v>0</v>
      </c>
      <c r="AN83" s="16">
        <f>IF(OR(AC83="Yes",K83="Info Request", K83="Side-Project"),0,(NETWORKDAYS(U83,W83,Holidays!A$2:A$13))-1)</f>
        <v>0</v>
      </c>
      <c r="AO83" s="16">
        <f>IF(OR(V83="none"),0,((NETWORKDAYS(S83,V83,Holidays!A$2:A$13))-1))</f>
        <v>0</v>
      </c>
      <c r="AP83" s="16" t="b">
        <f t="shared" si="6"/>
        <v>1</v>
      </c>
      <c r="AQ83" s="16" t="b">
        <f t="shared" si="7"/>
        <v>1</v>
      </c>
      <c r="AR83" s="60" t="str">
        <f t="shared" si="8"/>
        <v>OK</v>
      </c>
      <c r="AS83" s="60" t="str">
        <f>IF(table_data[[#This Row],[Flagged-Issues]] = 0, "", table_data[[#This Row],[Flagged-Issues]])</f>
        <v/>
      </c>
    </row>
    <row r="84" spans="1:45" x14ac:dyDescent="0.25">
      <c r="A84" t="s">
        <v>104</v>
      </c>
      <c r="B84" t="s">
        <v>121</v>
      </c>
      <c r="C84" t="s">
        <v>122</v>
      </c>
      <c r="D84" s="65">
        <v>202504021443</v>
      </c>
      <c r="E84" t="s">
        <v>273</v>
      </c>
      <c r="F84" t="s">
        <v>134</v>
      </c>
      <c r="G84" t="s">
        <v>226</v>
      </c>
      <c r="H84" t="s">
        <v>278</v>
      </c>
      <c r="I84" t="s">
        <v>126</v>
      </c>
      <c r="J84" t="s">
        <v>136</v>
      </c>
      <c r="K84" t="s">
        <v>255</v>
      </c>
      <c r="L84">
        <v>2</v>
      </c>
      <c r="M84" t="s">
        <v>137</v>
      </c>
      <c r="N84">
        <v>2</v>
      </c>
      <c r="O84"/>
      <c r="P84"/>
      <c r="Q84"/>
      <c r="R84"/>
      <c r="S84" s="72">
        <v>45749</v>
      </c>
      <c r="T84" s="72">
        <v>45749</v>
      </c>
      <c r="U84" s="72">
        <v>45749</v>
      </c>
      <c r="V84" s="72" t="s">
        <v>130</v>
      </c>
      <c r="W84" s="72">
        <v>45749</v>
      </c>
      <c r="X84" s="72" t="s">
        <v>130</v>
      </c>
      <c r="Y84"/>
      <c r="Z84"/>
      <c r="AA84" t="s">
        <v>131</v>
      </c>
      <c r="AB84" t="s">
        <v>132</v>
      </c>
      <c r="AC84" t="s">
        <v>131</v>
      </c>
      <c r="AD84" t="s">
        <v>131</v>
      </c>
      <c r="AE84" t="s">
        <v>131</v>
      </c>
      <c r="AF84" t="s">
        <v>131</v>
      </c>
      <c r="AG84" t="s">
        <v>131</v>
      </c>
      <c r="AH84" t="s">
        <v>131</v>
      </c>
      <c r="AI84" t="s">
        <v>131</v>
      </c>
      <c r="AJ84">
        <v>0</v>
      </c>
      <c r="AK84" t="s">
        <v>131</v>
      </c>
      <c r="AL84" t="s">
        <v>132</v>
      </c>
      <c r="AM84" s="16">
        <f>IF(OR(AC84="Yes",K84="Info Request", K84="Side-Project"),0,(NETWORKDAYS(T84,U84,Holidays!A$2:A$13))-1)</f>
        <v>0</v>
      </c>
      <c r="AN84" s="16">
        <f>IF(OR(AC84="Yes",K84="Info Request", K84="Side-Project"),0,(NETWORKDAYS(U84,W84,Holidays!A$2:A$13))-1)</f>
        <v>0</v>
      </c>
      <c r="AO84" s="16">
        <f>IF(OR(V84="none"),0,((NETWORKDAYS(S84,V84,Holidays!A$2:A$13))-1))</f>
        <v>0</v>
      </c>
      <c r="AP84" s="16" t="b">
        <f t="shared" si="6"/>
        <v>1</v>
      </c>
      <c r="AQ84" s="16" t="b">
        <f t="shared" si="7"/>
        <v>1</v>
      </c>
      <c r="AR84" s="60" t="str">
        <f t="shared" si="8"/>
        <v>OK</v>
      </c>
      <c r="AS84" s="60" t="str">
        <f>IF(table_data[[#This Row],[Flagged-Issues]] = 0, "", table_data[[#This Row],[Flagged-Issues]])</f>
        <v/>
      </c>
    </row>
    <row r="85" spans="1:45" x14ac:dyDescent="0.25">
      <c r="A85" t="s">
        <v>104</v>
      </c>
      <c r="B85" t="s">
        <v>121</v>
      </c>
      <c r="C85" t="s">
        <v>122</v>
      </c>
      <c r="D85" s="65">
        <v>202504081356</v>
      </c>
      <c r="E85" t="s">
        <v>279</v>
      </c>
      <c r="F85" t="s">
        <v>134</v>
      </c>
      <c r="G85"/>
      <c r="H85" t="s">
        <v>280</v>
      </c>
      <c r="I85" t="s">
        <v>126</v>
      </c>
      <c r="J85" t="s">
        <v>145</v>
      </c>
      <c r="K85" t="s">
        <v>128</v>
      </c>
      <c r="L85">
        <v>2</v>
      </c>
      <c r="M85" t="s">
        <v>158</v>
      </c>
      <c r="N85">
        <v>4</v>
      </c>
      <c r="O85"/>
      <c r="P85"/>
      <c r="Q85"/>
      <c r="R85"/>
      <c r="S85" s="72">
        <v>45755</v>
      </c>
      <c r="T85" s="72">
        <v>45756</v>
      </c>
      <c r="U85" s="72">
        <v>45756</v>
      </c>
      <c r="V85" s="72" t="s">
        <v>130</v>
      </c>
      <c r="W85" s="72">
        <v>45757</v>
      </c>
      <c r="X85" s="72" t="s">
        <v>130</v>
      </c>
      <c r="Y85" t="s">
        <v>146</v>
      </c>
      <c r="Z85" t="s">
        <v>147</v>
      </c>
      <c r="AA85" t="s">
        <v>131</v>
      </c>
      <c r="AB85" t="s">
        <v>132</v>
      </c>
      <c r="AC85" t="s">
        <v>131</v>
      </c>
      <c r="AD85" t="s">
        <v>131</v>
      </c>
      <c r="AE85" t="s">
        <v>131</v>
      </c>
      <c r="AF85" t="s">
        <v>131</v>
      </c>
      <c r="AG85" t="s">
        <v>131</v>
      </c>
      <c r="AH85" t="s">
        <v>131</v>
      </c>
      <c r="AI85" t="s">
        <v>132</v>
      </c>
      <c r="AJ85">
        <v>0</v>
      </c>
      <c r="AK85" t="s">
        <v>131</v>
      </c>
      <c r="AL85" t="s">
        <v>131</v>
      </c>
      <c r="AM85" s="16">
        <f>IF(OR(AC85="Yes",K85="Info Request", K85="Side-Project"),0,(NETWORKDAYS(T85,U85,Holidays!A$2:A$13))-1)</f>
        <v>0</v>
      </c>
      <c r="AN85" s="16">
        <f>IF(OR(AC85="Yes",K85="Info Request", K85="Side-Project"),0,(NETWORKDAYS(U85,W85,Holidays!A$2:A$13))-1)</f>
        <v>1</v>
      </c>
      <c r="AO85" s="16">
        <f>IF(OR(V85="none"),0,((NETWORKDAYS(S85,V85,Holidays!A$2:A$13))-1))</f>
        <v>0</v>
      </c>
      <c r="AP85" s="16" t="b">
        <f t="shared" si="6"/>
        <v>1</v>
      </c>
      <c r="AQ85" s="16" t="b">
        <f t="shared" si="7"/>
        <v>1</v>
      </c>
      <c r="AR85" s="60" t="str">
        <f t="shared" si="8"/>
        <v>OK</v>
      </c>
      <c r="AS85" s="60" t="str">
        <f>IF(table_data[[#This Row],[Flagged-Issues]] = 0, "", table_data[[#This Row],[Flagged-Issues]])</f>
        <v/>
      </c>
    </row>
    <row r="86" spans="1:45" x14ac:dyDescent="0.25">
      <c r="A86" t="s">
        <v>104</v>
      </c>
      <c r="B86" t="s">
        <v>121</v>
      </c>
      <c r="C86" t="s">
        <v>122</v>
      </c>
      <c r="D86" s="65">
        <v>202504040807</v>
      </c>
      <c r="E86" t="s">
        <v>279</v>
      </c>
      <c r="F86" t="s">
        <v>134</v>
      </c>
      <c r="G86"/>
      <c r="H86" t="s">
        <v>281</v>
      </c>
      <c r="I86" t="s">
        <v>126</v>
      </c>
      <c r="J86" t="s">
        <v>127</v>
      </c>
      <c r="K86" t="s">
        <v>128</v>
      </c>
      <c r="L86">
        <v>2</v>
      </c>
      <c r="M86" t="s">
        <v>187</v>
      </c>
      <c r="N86">
        <v>2</v>
      </c>
      <c r="O86"/>
      <c r="P86"/>
      <c r="Q86"/>
      <c r="R86"/>
      <c r="S86" s="72">
        <v>45751</v>
      </c>
      <c r="T86" s="72">
        <v>45751</v>
      </c>
      <c r="U86" s="72">
        <v>45751</v>
      </c>
      <c r="V86" s="72" t="s">
        <v>130</v>
      </c>
      <c r="W86" s="72">
        <v>45754</v>
      </c>
      <c r="X86" s="72" t="s">
        <v>130</v>
      </c>
      <c r="Y86" t="s">
        <v>146</v>
      </c>
      <c r="Z86" t="s">
        <v>147</v>
      </c>
      <c r="AA86" t="s">
        <v>131</v>
      </c>
      <c r="AB86" t="s">
        <v>131</v>
      </c>
      <c r="AC86" t="s">
        <v>131</v>
      </c>
      <c r="AD86" t="s">
        <v>131</v>
      </c>
      <c r="AE86" t="s">
        <v>131</v>
      </c>
      <c r="AF86" t="s">
        <v>131</v>
      </c>
      <c r="AG86" t="s">
        <v>131</v>
      </c>
      <c r="AH86" t="s">
        <v>131</v>
      </c>
      <c r="AI86" t="s">
        <v>132</v>
      </c>
      <c r="AJ86">
        <v>0</v>
      </c>
      <c r="AK86" t="s">
        <v>131</v>
      </c>
      <c r="AL86" t="s">
        <v>148</v>
      </c>
      <c r="AM86" s="16">
        <f>IF(OR(AC86="Yes",K86="Info Request", K86="Side-Project"),0,(NETWORKDAYS(T86,U86,Holidays!A$2:A$13))-1)</f>
        <v>0</v>
      </c>
      <c r="AN86" s="16">
        <f>IF(OR(AC86="Yes",K86="Info Request", K86="Side-Project"),0,(NETWORKDAYS(U86,W86,Holidays!A$2:A$13))-1)</f>
        <v>1</v>
      </c>
      <c r="AO86" s="16">
        <f>IF(OR(V86="none"),0,((NETWORKDAYS(S86,V86,Holidays!A$2:A$13))-1))</f>
        <v>0</v>
      </c>
      <c r="AP86" s="16" t="b">
        <f t="shared" si="6"/>
        <v>1</v>
      </c>
      <c r="AQ86" s="16" t="b">
        <f t="shared" si="7"/>
        <v>1</v>
      </c>
      <c r="AR86" s="60" t="str">
        <f t="shared" si="8"/>
        <v>OK</v>
      </c>
      <c r="AS86" s="60" t="str">
        <f>IF(table_data[[#This Row],[Flagged-Issues]] = 0, "", table_data[[#This Row],[Flagged-Issues]])</f>
        <v/>
      </c>
    </row>
    <row r="87" spans="1:45" x14ac:dyDescent="0.25">
      <c r="A87" t="s">
        <v>104</v>
      </c>
      <c r="B87" t="s">
        <v>121</v>
      </c>
      <c r="C87" t="s">
        <v>122</v>
      </c>
      <c r="D87" s="65">
        <v>202504080917</v>
      </c>
      <c r="E87" t="s">
        <v>279</v>
      </c>
      <c r="F87" t="s">
        <v>134</v>
      </c>
      <c r="G87"/>
      <c r="H87" t="s">
        <v>282</v>
      </c>
      <c r="I87" t="s">
        <v>126</v>
      </c>
      <c r="J87" t="s">
        <v>151</v>
      </c>
      <c r="K87" t="s">
        <v>128</v>
      </c>
      <c r="L87">
        <v>2</v>
      </c>
      <c r="M87" t="s">
        <v>187</v>
      </c>
      <c r="N87">
        <v>2</v>
      </c>
      <c r="O87"/>
      <c r="P87"/>
      <c r="Q87"/>
      <c r="R87"/>
      <c r="S87" s="72">
        <v>45755</v>
      </c>
      <c r="T87" s="72">
        <v>45755</v>
      </c>
      <c r="U87" s="72">
        <v>45756</v>
      </c>
      <c r="V87" s="72" t="s">
        <v>130</v>
      </c>
      <c r="W87" s="72">
        <v>45757</v>
      </c>
      <c r="X87" s="72" t="s">
        <v>130</v>
      </c>
      <c r="Y87" t="s">
        <v>146</v>
      </c>
      <c r="Z87" t="s">
        <v>147</v>
      </c>
      <c r="AA87" t="s">
        <v>131</v>
      </c>
      <c r="AB87" t="s">
        <v>131</v>
      </c>
      <c r="AC87" t="s">
        <v>131</v>
      </c>
      <c r="AD87" t="s">
        <v>131</v>
      </c>
      <c r="AE87" t="s">
        <v>131</v>
      </c>
      <c r="AF87" t="s">
        <v>131</v>
      </c>
      <c r="AG87" t="s">
        <v>131</v>
      </c>
      <c r="AH87" t="s">
        <v>131</v>
      </c>
      <c r="AI87" t="s">
        <v>131</v>
      </c>
      <c r="AJ87">
        <v>0</v>
      </c>
      <c r="AK87" t="s">
        <v>131</v>
      </c>
      <c r="AL87" t="s">
        <v>148</v>
      </c>
      <c r="AM87" s="16">
        <f>IF(OR(AC87="Yes",K87="Info Request", K87="Side-Project"),0,(NETWORKDAYS(T87,U87,Holidays!A$2:A$13))-1)</f>
        <v>1</v>
      </c>
      <c r="AN87" s="16">
        <f>IF(OR(AC87="Yes",K87="Info Request", K87="Side-Project"),0,(NETWORKDAYS(U87,W87,Holidays!A$2:A$13))-1)</f>
        <v>1</v>
      </c>
      <c r="AO87" s="16">
        <f>IF(OR(V87="none"),0,((NETWORKDAYS(S87,V87,Holidays!A$2:A$13))-1))</f>
        <v>0</v>
      </c>
      <c r="AP87" s="16" t="b">
        <f t="shared" si="6"/>
        <v>1</v>
      </c>
      <c r="AQ87" s="16" t="b">
        <f t="shared" si="7"/>
        <v>1</v>
      </c>
      <c r="AR87" s="60" t="str">
        <f t="shared" si="8"/>
        <v>OK</v>
      </c>
      <c r="AS87" s="60" t="str">
        <f>IF(table_data[[#This Row],[Flagged-Issues]] = 0, "", table_data[[#This Row],[Flagged-Issues]])</f>
        <v/>
      </c>
    </row>
    <row r="88" spans="1:45" x14ac:dyDescent="0.25">
      <c r="A88" t="s">
        <v>104</v>
      </c>
      <c r="B88" t="s">
        <v>121</v>
      </c>
      <c r="C88" t="s">
        <v>122</v>
      </c>
      <c r="D88" s="65">
        <v>202504041529</v>
      </c>
      <c r="E88" t="s">
        <v>253</v>
      </c>
      <c r="F88" t="s">
        <v>134</v>
      </c>
      <c r="G88"/>
      <c r="H88" t="s">
        <v>283</v>
      </c>
      <c r="I88" t="s">
        <v>126</v>
      </c>
      <c r="J88" t="s">
        <v>136</v>
      </c>
      <c r="K88" t="s">
        <v>128</v>
      </c>
      <c r="L88">
        <v>2</v>
      </c>
      <c r="M88" t="s">
        <v>129</v>
      </c>
      <c r="N88">
        <v>4</v>
      </c>
      <c r="O88"/>
      <c r="P88"/>
      <c r="Q88"/>
      <c r="R88"/>
      <c r="S88" s="72">
        <v>45751</v>
      </c>
      <c r="T88" s="72">
        <v>45751</v>
      </c>
      <c r="U88" s="72">
        <v>45751</v>
      </c>
      <c r="V88" s="72" t="s">
        <v>130</v>
      </c>
      <c r="W88" s="72">
        <v>45751</v>
      </c>
      <c r="X88" s="72" t="s">
        <v>130</v>
      </c>
      <c r="Y88"/>
      <c r="Z88"/>
      <c r="AA88" t="s">
        <v>131</v>
      </c>
      <c r="AB88" t="s">
        <v>132</v>
      </c>
      <c r="AC88" t="s">
        <v>131</v>
      </c>
      <c r="AD88" t="s">
        <v>131</v>
      </c>
      <c r="AE88" t="s">
        <v>131</v>
      </c>
      <c r="AF88" t="s">
        <v>131</v>
      </c>
      <c r="AG88" t="s">
        <v>131</v>
      </c>
      <c r="AH88" t="s">
        <v>131</v>
      </c>
      <c r="AI88" t="s">
        <v>131</v>
      </c>
      <c r="AJ88">
        <v>0</v>
      </c>
      <c r="AK88" t="s">
        <v>131</v>
      </c>
      <c r="AL88" t="s">
        <v>132</v>
      </c>
      <c r="AM88" s="16">
        <f>IF(OR(AC88="Yes",K88="Info Request", K88="Side-Project"),0,(NETWORKDAYS(T88,U88,Holidays!A$2:A$13))-1)</f>
        <v>0</v>
      </c>
      <c r="AN88" s="16">
        <f>IF(OR(AC88="Yes",K88="Info Request", K88="Side-Project"),0,(NETWORKDAYS(U88,W88,Holidays!A$2:A$13))-1)</f>
        <v>0</v>
      </c>
      <c r="AO88" s="16">
        <f>IF(OR(V88="none"),0,((NETWORKDAYS(S88,V88,Holidays!A$2:A$13))-1))</f>
        <v>0</v>
      </c>
      <c r="AP88" s="16" t="b">
        <f t="shared" si="6"/>
        <v>1</v>
      </c>
      <c r="AQ88" s="16" t="b">
        <f t="shared" si="7"/>
        <v>1</v>
      </c>
      <c r="AR88" s="60" t="str">
        <f t="shared" si="8"/>
        <v>OK</v>
      </c>
      <c r="AS88" s="60" t="str">
        <f>IF(table_data[[#This Row],[Flagged-Issues]] = 0, "", table_data[[#This Row],[Flagged-Issues]])</f>
        <v/>
      </c>
    </row>
    <row r="89" spans="1:45" x14ac:dyDescent="0.25">
      <c r="A89" t="s">
        <v>104</v>
      </c>
      <c r="B89" t="s">
        <v>121</v>
      </c>
      <c r="C89" t="s">
        <v>122</v>
      </c>
      <c r="D89" s="65">
        <v>202503101122</v>
      </c>
      <c r="E89" t="s">
        <v>133</v>
      </c>
      <c r="F89" t="s">
        <v>134</v>
      </c>
      <c r="G89"/>
      <c r="H89" t="s">
        <v>284</v>
      </c>
      <c r="I89" t="s">
        <v>126</v>
      </c>
      <c r="J89" t="s">
        <v>167</v>
      </c>
      <c r="K89" t="s">
        <v>128</v>
      </c>
      <c r="L89">
        <v>2</v>
      </c>
      <c r="M89" t="s">
        <v>162</v>
      </c>
      <c r="N89">
        <v>2</v>
      </c>
      <c r="O89"/>
      <c r="P89"/>
      <c r="Q89"/>
      <c r="R89"/>
      <c r="S89" s="72">
        <v>45726</v>
      </c>
      <c r="T89" s="72">
        <v>45726</v>
      </c>
      <c r="U89" s="72">
        <v>45726</v>
      </c>
      <c r="V89" s="72" t="s">
        <v>130</v>
      </c>
      <c r="W89" s="72">
        <v>45775</v>
      </c>
      <c r="X89" s="72" t="s">
        <v>130</v>
      </c>
      <c r="Y89" t="s">
        <v>153</v>
      </c>
      <c r="Z89" t="s">
        <v>285</v>
      </c>
      <c r="AA89" t="s">
        <v>131</v>
      </c>
      <c r="AB89" t="s">
        <v>132</v>
      </c>
      <c r="AC89" t="s">
        <v>131</v>
      </c>
      <c r="AD89" t="s">
        <v>131</v>
      </c>
      <c r="AE89" t="s">
        <v>131</v>
      </c>
      <c r="AF89" t="s">
        <v>131</v>
      </c>
      <c r="AG89" t="s">
        <v>131</v>
      </c>
      <c r="AH89" t="s">
        <v>131</v>
      </c>
      <c r="AI89" t="s">
        <v>132</v>
      </c>
      <c r="AJ89">
        <v>0</v>
      </c>
      <c r="AK89" t="s">
        <v>131</v>
      </c>
      <c r="AL89" t="s">
        <v>148</v>
      </c>
      <c r="AM89" s="16">
        <f>IF(OR(AC89="Yes",K89="Info Request", K89="Side-Project"),0,(NETWORKDAYS(T89,U89,Holidays!A$2:A$13))-1)</f>
        <v>0</v>
      </c>
      <c r="AN89" s="16">
        <f>IF(OR(AC89="Yes",K89="Info Request", K89="Side-Project"),0,(NETWORKDAYS(U89,W89,Holidays!A$2:A$13))-1)</f>
        <v>33</v>
      </c>
      <c r="AO89" s="16">
        <f>IF(OR(V89="none"),0,((NETWORKDAYS(S89,V89,Holidays!A$2:A$13))-1))</f>
        <v>0</v>
      </c>
      <c r="AP89" s="16" t="b">
        <f t="shared" si="6"/>
        <v>1</v>
      </c>
      <c r="AQ89" s="16" t="b">
        <f t="shared" si="7"/>
        <v>1</v>
      </c>
      <c r="AR89" s="60" t="str">
        <f t="shared" si="8"/>
        <v>OK</v>
      </c>
      <c r="AS89" s="60" t="str">
        <f>IF(table_data[[#This Row],[Flagged-Issues]] = 0, "", table_data[[#This Row],[Flagged-Issues]])</f>
        <v/>
      </c>
    </row>
    <row r="90" spans="1:45" x14ac:dyDescent="0.25">
      <c r="A90" t="s">
        <v>104</v>
      </c>
      <c r="B90" t="s">
        <v>121</v>
      </c>
      <c r="C90" t="s">
        <v>122</v>
      </c>
      <c r="D90" s="65">
        <v>202503051100</v>
      </c>
      <c r="E90" t="s">
        <v>217</v>
      </c>
      <c r="F90" t="s">
        <v>134</v>
      </c>
      <c r="G90"/>
      <c r="H90" t="s">
        <v>286</v>
      </c>
      <c r="I90" t="s">
        <v>126</v>
      </c>
      <c r="J90" t="s">
        <v>136</v>
      </c>
      <c r="K90" t="s">
        <v>128</v>
      </c>
      <c r="L90">
        <v>2</v>
      </c>
      <c r="M90" t="s">
        <v>143</v>
      </c>
      <c r="N90">
        <v>2</v>
      </c>
      <c r="O90"/>
      <c r="P90"/>
      <c r="Q90"/>
      <c r="R90"/>
      <c r="S90" s="72">
        <v>45721</v>
      </c>
      <c r="T90" s="72">
        <v>45742</v>
      </c>
      <c r="U90" s="72">
        <v>45742</v>
      </c>
      <c r="V90" s="72" t="s">
        <v>130</v>
      </c>
      <c r="W90" s="72">
        <v>45750</v>
      </c>
      <c r="X90" s="72" t="s">
        <v>130</v>
      </c>
      <c r="Y90"/>
      <c r="Z90"/>
      <c r="AA90" t="s">
        <v>131</v>
      </c>
      <c r="AB90" t="s">
        <v>131</v>
      </c>
      <c r="AC90" t="s">
        <v>131</v>
      </c>
      <c r="AD90" t="s">
        <v>131</v>
      </c>
      <c r="AE90" t="s">
        <v>131</v>
      </c>
      <c r="AF90" t="s">
        <v>131</v>
      </c>
      <c r="AG90" t="s">
        <v>131</v>
      </c>
      <c r="AH90" t="s">
        <v>131</v>
      </c>
      <c r="AI90" t="s">
        <v>131</v>
      </c>
      <c r="AJ90">
        <v>0</v>
      </c>
      <c r="AK90" t="s">
        <v>131</v>
      </c>
      <c r="AL90" t="s">
        <v>132</v>
      </c>
      <c r="AM90" s="16">
        <f>IF(OR(AC90="Yes",K90="Info Request", K90="Side-Project"),0,(NETWORKDAYS(T90,U90,Holidays!A$2:A$13))-1)</f>
        <v>0</v>
      </c>
      <c r="AN90" s="16">
        <f>IF(OR(AC90="Yes",K90="Info Request", K90="Side-Project"),0,(NETWORKDAYS(U90,W90,Holidays!A$2:A$13))-1)</f>
        <v>6</v>
      </c>
      <c r="AO90" s="16">
        <f>IF(OR(V90="none"),0,((NETWORKDAYS(S90,V90,Holidays!A$2:A$13))-1))</f>
        <v>0</v>
      </c>
      <c r="AP90" s="16" t="b">
        <f t="shared" si="6"/>
        <v>1</v>
      </c>
      <c r="AQ90" s="16" t="b">
        <f t="shared" si="7"/>
        <v>1</v>
      </c>
      <c r="AR90" s="60" t="str">
        <f t="shared" si="8"/>
        <v>OK</v>
      </c>
      <c r="AS90" s="60" t="str">
        <f>IF(table_data[[#This Row],[Flagged-Issues]] = 0, "", table_data[[#This Row],[Flagged-Issues]])</f>
        <v/>
      </c>
    </row>
    <row r="91" spans="1:45" x14ac:dyDescent="0.25">
      <c r="A91" t="s">
        <v>104</v>
      </c>
      <c r="B91" t="s">
        <v>121</v>
      </c>
      <c r="C91" t="s">
        <v>122</v>
      </c>
      <c r="D91" s="65">
        <v>202503141525</v>
      </c>
      <c r="E91" t="s">
        <v>133</v>
      </c>
      <c r="F91" t="s">
        <v>134</v>
      </c>
      <c r="G91"/>
      <c r="H91" t="s">
        <v>287</v>
      </c>
      <c r="I91" t="s">
        <v>126</v>
      </c>
      <c r="J91" t="s">
        <v>167</v>
      </c>
      <c r="K91" t="s">
        <v>128</v>
      </c>
      <c r="L91">
        <v>2</v>
      </c>
      <c r="M91" t="s">
        <v>141</v>
      </c>
      <c r="N91">
        <v>2</v>
      </c>
      <c r="O91"/>
      <c r="P91"/>
      <c r="Q91"/>
      <c r="R91"/>
      <c r="S91" s="72">
        <v>45730</v>
      </c>
      <c r="T91" s="72">
        <v>45733</v>
      </c>
      <c r="U91" s="72">
        <v>45733</v>
      </c>
      <c r="V91" s="72" t="s">
        <v>130</v>
      </c>
      <c r="W91" s="72">
        <v>45772</v>
      </c>
      <c r="X91" s="72" t="s">
        <v>130</v>
      </c>
      <c r="Y91" t="s">
        <v>288</v>
      </c>
      <c r="Z91" t="s">
        <v>285</v>
      </c>
      <c r="AA91" t="s">
        <v>131</v>
      </c>
      <c r="AB91" t="s">
        <v>132</v>
      </c>
      <c r="AC91" t="s">
        <v>131</v>
      </c>
      <c r="AD91" t="s">
        <v>131</v>
      </c>
      <c r="AE91" t="s">
        <v>131</v>
      </c>
      <c r="AF91" t="s">
        <v>131</v>
      </c>
      <c r="AG91" t="s">
        <v>131</v>
      </c>
      <c r="AH91" t="s">
        <v>131</v>
      </c>
      <c r="AI91" t="s">
        <v>132</v>
      </c>
      <c r="AJ91">
        <v>0</v>
      </c>
      <c r="AK91" t="s">
        <v>131</v>
      </c>
      <c r="AL91" t="s">
        <v>148</v>
      </c>
      <c r="AM91" s="16">
        <f>IF(OR(AC91="Yes",K91="Info Request", K91="Side-Project"),0,(NETWORKDAYS(T91,U91,Holidays!A$2:A$13))-1)</f>
        <v>0</v>
      </c>
      <c r="AN91" s="16">
        <f>IF(OR(AC91="Yes",K91="Info Request", K91="Side-Project"),0,(NETWORKDAYS(U91,W91,Holidays!A$2:A$13))-1)</f>
        <v>27</v>
      </c>
      <c r="AO91" s="16">
        <f>IF(OR(V91="none"),0,((NETWORKDAYS(S91,V91,Holidays!A$2:A$13))-1))</f>
        <v>0</v>
      </c>
      <c r="AP91" s="16" t="b">
        <f t="shared" si="6"/>
        <v>1</v>
      </c>
      <c r="AQ91" s="16" t="b">
        <f t="shared" si="7"/>
        <v>1</v>
      </c>
      <c r="AR91" s="60" t="str">
        <f t="shared" si="8"/>
        <v>OK</v>
      </c>
      <c r="AS91" s="60" t="str">
        <f>IF(table_data[[#This Row],[Flagged-Issues]] = 0, "", table_data[[#This Row],[Flagged-Issues]])</f>
        <v/>
      </c>
    </row>
    <row r="92" spans="1:45" x14ac:dyDescent="0.25">
      <c r="A92" t="s">
        <v>289</v>
      </c>
      <c r="B92" t="s">
        <v>121</v>
      </c>
      <c r="C92" t="s">
        <v>122</v>
      </c>
      <c r="D92" s="65">
        <v>202503181558</v>
      </c>
      <c r="E92" t="s">
        <v>290</v>
      </c>
      <c r="F92" t="s">
        <v>139</v>
      </c>
      <c r="G92" t="s">
        <v>226</v>
      </c>
      <c r="H92" t="s">
        <v>291</v>
      </c>
      <c r="I92" t="s">
        <v>203</v>
      </c>
      <c r="J92" t="s">
        <v>167</v>
      </c>
      <c r="K92" t="s">
        <v>128</v>
      </c>
      <c r="L92">
        <v>10</v>
      </c>
      <c r="M92" t="s">
        <v>292</v>
      </c>
      <c r="N92">
        <v>4</v>
      </c>
      <c r="O92">
        <v>4</v>
      </c>
      <c r="P92"/>
      <c r="Q92"/>
      <c r="R92"/>
      <c r="S92" s="72">
        <v>45735</v>
      </c>
      <c r="T92" s="72">
        <v>45735</v>
      </c>
      <c r="U92" s="72">
        <v>45735</v>
      </c>
      <c r="V92" s="72" t="s">
        <v>130</v>
      </c>
      <c r="W92" s="72">
        <v>45772</v>
      </c>
      <c r="X92" s="72">
        <v>45737</v>
      </c>
      <c r="Y92" t="s">
        <v>146</v>
      </c>
      <c r="Z92" t="s">
        <v>285</v>
      </c>
      <c r="AA92" t="s">
        <v>131</v>
      </c>
      <c r="AB92" t="s">
        <v>132</v>
      </c>
      <c r="AC92" t="s">
        <v>131</v>
      </c>
      <c r="AD92" t="s">
        <v>131</v>
      </c>
      <c r="AE92" t="s">
        <v>131</v>
      </c>
      <c r="AF92" t="s">
        <v>131</v>
      </c>
      <c r="AG92" t="s">
        <v>131</v>
      </c>
      <c r="AH92" t="s">
        <v>131</v>
      </c>
      <c r="AI92" t="s">
        <v>132</v>
      </c>
      <c r="AJ92">
        <v>0</v>
      </c>
      <c r="AK92" t="s">
        <v>132</v>
      </c>
      <c r="AL92" t="s">
        <v>148</v>
      </c>
      <c r="AM92" s="16">
        <f>IF(OR(AC92="Yes",K92="Info Request", K92="Side-Project"),0,(NETWORKDAYS(T92,U92,Holidays!A$2:A$13))-1)</f>
        <v>0</v>
      </c>
      <c r="AN92" s="16">
        <f>IF(OR(AC92="Yes",K92="Info Request", K92="Side-Project"),0,(NETWORKDAYS(U92,W92,Holidays!A$2:A$13))-1)</f>
        <v>25</v>
      </c>
      <c r="AO92" s="16">
        <f>IF(OR(V92="none"),0,((NETWORKDAYS(S92,V92,Holidays!A$2:A$13))-1))</f>
        <v>0</v>
      </c>
      <c r="AP92" s="16" t="b">
        <f t="shared" si="6"/>
        <v>1</v>
      </c>
      <c r="AQ92" s="16" t="b">
        <f t="shared" si="7"/>
        <v>1</v>
      </c>
      <c r="AR92" s="60" t="str">
        <f t="shared" si="8"/>
        <v>OK</v>
      </c>
      <c r="AS92" s="60" t="str">
        <f>IF(table_data[[#This Row],[Flagged-Issues]] = 0, "", table_data[[#This Row],[Flagged-Issues]])</f>
        <v/>
      </c>
    </row>
    <row r="93" spans="1:45" x14ac:dyDescent="0.25">
      <c r="A93" t="s">
        <v>289</v>
      </c>
      <c r="B93" t="s">
        <v>121</v>
      </c>
      <c r="C93" t="s">
        <v>122</v>
      </c>
      <c r="D93" s="65">
        <v>202503141836</v>
      </c>
      <c r="E93" t="s">
        <v>290</v>
      </c>
      <c r="F93" t="s">
        <v>139</v>
      </c>
      <c r="G93"/>
      <c r="H93" t="s">
        <v>293</v>
      </c>
      <c r="I93" t="s">
        <v>203</v>
      </c>
      <c r="J93" t="s">
        <v>157</v>
      </c>
      <c r="K93" t="s">
        <v>128</v>
      </c>
      <c r="L93">
        <v>10</v>
      </c>
      <c r="M93" t="s">
        <v>177</v>
      </c>
      <c r="N93">
        <v>52</v>
      </c>
      <c r="O93">
        <v>6</v>
      </c>
      <c r="P93"/>
      <c r="Q93"/>
      <c r="R93"/>
      <c r="S93" s="72">
        <v>45755</v>
      </c>
      <c r="T93" s="72">
        <v>45756</v>
      </c>
      <c r="U93" s="72">
        <v>45756</v>
      </c>
      <c r="V93" s="72" t="s">
        <v>130</v>
      </c>
      <c r="W93" s="72">
        <v>45776</v>
      </c>
      <c r="X93" s="72" t="s">
        <v>130</v>
      </c>
      <c r="Y93" t="s">
        <v>146</v>
      </c>
      <c r="Z93" t="s">
        <v>147</v>
      </c>
      <c r="AA93" t="s">
        <v>131</v>
      </c>
      <c r="AB93" t="s">
        <v>132</v>
      </c>
      <c r="AC93" t="s">
        <v>131</v>
      </c>
      <c r="AD93" t="s">
        <v>131</v>
      </c>
      <c r="AE93" t="s">
        <v>131</v>
      </c>
      <c r="AF93" t="s">
        <v>132</v>
      </c>
      <c r="AG93" t="s">
        <v>132</v>
      </c>
      <c r="AH93" t="s">
        <v>132</v>
      </c>
      <c r="AI93" t="s">
        <v>131</v>
      </c>
      <c r="AJ93">
        <v>0</v>
      </c>
      <c r="AK93" t="s">
        <v>132</v>
      </c>
      <c r="AL93" t="s">
        <v>148</v>
      </c>
      <c r="AM93" s="16">
        <f>IF(OR(AC93="Yes",K93="Info Request", K93="Side-Project"),0,(NETWORKDAYS(T93,U93,Holidays!A$2:A$13))-1)</f>
        <v>0</v>
      </c>
      <c r="AN93" s="16">
        <f>IF(OR(AC93="Yes",K93="Info Request", K93="Side-Project"),0,(NETWORKDAYS(U93,W93,Holidays!A$2:A$13))-1)</f>
        <v>12</v>
      </c>
      <c r="AO93" s="16">
        <f>IF(OR(V93="none"),0,((NETWORKDAYS(S93,V93,Holidays!A$2:A$13))-1))</f>
        <v>0</v>
      </c>
      <c r="AP93" s="16" t="b">
        <f t="shared" si="6"/>
        <v>1</v>
      </c>
      <c r="AQ93" s="16" t="b">
        <f t="shared" si="7"/>
        <v>1</v>
      </c>
      <c r="AR93" s="60" t="str">
        <f t="shared" si="8"/>
        <v>OK</v>
      </c>
      <c r="AS93" s="60" t="str">
        <f>IF(table_data[[#This Row],[Flagged-Issues]] = 0, "", table_data[[#This Row],[Flagged-Issues]])</f>
        <v/>
      </c>
    </row>
    <row r="94" spans="1:45" x14ac:dyDescent="0.25">
      <c r="A94" t="s">
        <v>29</v>
      </c>
      <c r="B94" t="s">
        <v>154</v>
      </c>
      <c r="C94" t="s">
        <v>294</v>
      </c>
      <c r="D94" s="65">
        <v>202502141927</v>
      </c>
      <c r="E94" t="s">
        <v>295</v>
      </c>
      <c r="F94" t="s">
        <v>173</v>
      </c>
      <c r="G94"/>
      <c r="H94" t="s">
        <v>296</v>
      </c>
      <c r="I94" t="s">
        <v>203</v>
      </c>
      <c r="J94" t="s">
        <v>206</v>
      </c>
      <c r="K94" t="s">
        <v>128</v>
      </c>
      <c r="L94">
        <v>5</v>
      </c>
      <c r="M94" t="s">
        <v>189</v>
      </c>
      <c r="N94">
        <v>28</v>
      </c>
      <c r="O94"/>
      <c r="P94"/>
      <c r="Q94"/>
      <c r="R94"/>
      <c r="S94" s="72">
        <v>45706</v>
      </c>
      <c r="T94" s="72">
        <v>45741</v>
      </c>
      <c r="U94" s="72">
        <v>45742</v>
      </c>
      <c r="V94" s="72" t="s">
        <v>130</v>
      </c>
      <c r="W94" s="72">
        <v>45749</v>
      </c>
      <c r="X94" s="72" t="s">
        <v>130</v>
      </c>
      <c r="Y94"/>
      <c r="Z94"/>
      <c r="AA94" t="s">
        <v>131</v>
      </c>
      <c r="AB94" t="s">
        <v>131</v>
      </c>
      <c r="AC94" t="s">
        <v>131</v>
      </c>
      <c r="AD94" t="s">
        <v>131</v>
      </c>
      <c r="AE94" t="s">
        <v>131</v>
      </c>
      <c r="AF94" t="s">
        <v>131</v>
      </c>
      <c r="AG94" t="s">
        <v>131</v>
      </c>
      <c r="AH94" t="s">
        <v>131</v>
      </c>
      <c r="AI94" t="s">
        <v>131</v>
      </c>
      <c r="AJ94">
        <v>0</v>
      </c>
      <c r="AK94" t="s">
        <v>131</v>
      </c>
      <c r="AL94" t="s">
        <v>132</v>
      </c>
      <c r="AM94" s="16">
        <f>IF(OR(AC94="Yes",K94="Info Request", K94="Side-Project"),0,(NETWORKDAYS(T94,U94,Holidays!A$2:A$13))-1)</f>
        <v>1</v>
      </c>
      <c r="AN94" s="16">
        <f>IF(OR(AC94="Yes",K94="Info Request", K94="Side-Project"),0,(NETWORKDAYS(U94,W94,Holidays!A$2:A$13))-1)</f>
        <v>5</v>
      </c>
      <c r="AO94" s="16">
        <f>IF(OR(V94="none"),0,((NETWORKDAYS(S94,V94,Holidays!A$2:A$13))-1))</f>
        <v>0</v>
      </c>
      <c r="AP94" s="16" t="b">
        <f t="shared" si="6"/>
        <v>1</v>
      </c>
      <c r="AQ94" s="16" t="b">
        <f t="shared" si="7"/>
        <v>1</v>
      </c>
      <c r="AR94" s="60" t="str">
        <f t="shared" si="8"/>
        <v>OK</v>
      </c>
      <c r="AS94" s="60" t="str">
        <f>IF(table_data[[#This Row],[Flagged-Issues]] = 0, "", table_data[[#This Row],[Flagged-Issues]])</f>
        <v/>
      </c>
    </row>
    <row r="95" spans="1:45" x14ac:dyDescent="0.25">
      <c r="A95" t="s">
        <v>104</v>
      </c>
      <c r="B95" t="s">
        <v>121</v>
      </c>
      <c r="C95" t="s">
        <v>122</v>
      </c>
      <c r="D95" s="65">
        <v>202503271151</v>
      </c>
      <c r="E95" t="s">
        <v>297</v>
      </c>
      <c r="F95" t="s">
        <v>134</v>
      </c>
      <c r="G95"/>
      <c r="H95" t="s">
        <v>298</v>
      </c>
      <c r="I95" t="s">
        <v>126</v>
      </c>
      <c r="J95" t="s">
        <v>145</v>
      </c>
      <c r="K95" t="s">
        <v>128</v>
      </c>
      <c r="L95">
        <v>2</v>
      </c>
      <c r="M95" t="s">
        <v>160</v>
      </c>
      <c r="N95">
        <v>2</v>
      </c>
      <c r="O95"/>
      <c r="P95"/>
      <c r="Q95"/>
      <c r="R95"/>
      <c r="S95" s="72">
        <v>45743</v>
      </c>
      <c r="T95" s="72">
        <v>45744</v>
      </c>
      <c r="U95" s="72">
        <v>45744</v>
      </c>
      <c r="V95" s="72" t="s">
        <v>130</v>
      </c>
      <c r="W95" s="72">
        <v>45748</v>
      </c>
      <c r="X95" s="72" t="s">
        <v>130</v>
      </c>
      <c r="Y95" t="s">
        <v>146</v>
      </c>
      <c r="Z95" t="s">
        <v>285</v>
      </c>
      <c r="AA95" t="s">
        <v>131</v>
      </c>
      <c r="AB95" t="s">
        <v>132</v>
      </c>
      <c r="AC95" t="s">
        <v>131</v>
      </c>
      <c r="AD95" t="s">
        <v>131</v>
      </c>
      <c r="AE95" t="s">
        <v>131</v>
      </c>
      <c r="AF95" t="s">
        <v>131</v>
      </c>
      <c r="AG95" t="s">
        <v>131</v>
      </c>
      <c r="AH95" t="s">
        <v>131</v>
      </c>
      <c r="AI95" t="s">
        <v>132</v>
      </c>
      <c r="AJ95">
        <v>0</v>
      </c>
      <c r="AK95" t="s">
        <v>131</v>
      </c>
      <c r="AL95" t="s">
        <v>148</v>
      </c>
      <c r="AM95" s="16">
        <f>IF(OR(AC95="Yes",K95="Info Request", K95="Side-Project"),0,(NETWORKDAYS(T95,U95,Holidays!A$2:A$13))-1)</f>
        <v>0</v>
      </c>
      <c r="AN95" s="16">
        <f>IF(OR(AC95="Yes",K95="Info Request", K95="Side-Project"),0,(NETWORKDAYS(U95,W95,Holidays!A$2:A$13))-1)</f>
        <v>2</v>
      </c>
      <c r="AO95" s="16">
        <f>IF(OR(V95="none"),0,((NETWORKDAYS(S95,V95,Holidays!A$2:A$13))-1))</f>
        <v>0</v>
      </c>
      <c r="AP95" s="16" t="b">
        <f t="shared" si="6"/>
        <v>1</v>
      </c>
      <c r="AQ95" s="16" t="b">
        <f t="shared" si="7"/>
        <v>1</v>
      </c>
      <c r="AR95" s="60" t="str">
        <f t="shared" si="8"/>
        <v>OK</v>
      </c>
      <c r="AS95" s="60" t="str">
        <f>IF(table_data[[#This Row],[Flagged-Issues]] = 0, "", table_data[[#This Row],[Flagged-Issues]])</f>
        <v/>
      </c>
    </row>
    <row r="96" spans="1:45" x14ac:dyDescent="0.25">
      <c r="A96" t="s">
        <v>104</v>
      </c>
      <c r="B96" t="s">
        <v>154</v>
      </c>
      <c r="C96" t="s">
        <v>122</v>
      </c>
      <c r="D96" s="65">
        <v>205170849</v>
      </c>
      <c r="E96" t="s">
        <v>198</v>
      </c>
      <c r="F96" t="s">
        <v>134</v>
      </c>
      <c r="G96"/>
      <c r="H96" t="s">
        <v>299</v>
      </c>
      <c r="I96" t="s">
        <v>203</v>
      </c>
      <c r="J96" t="s">
        <v>145</v>
      </c>
      <c r="K96" t="s">
        <v>128</v>
      </c>
      <c r="L96">
        <v>2</v>
      </c>
      <c r="M96" t="s">
        <v>158</v>
      </c>
      <c r="N96">
        <v>2</v>
      </c>
      <c r="O96"/>
      <c r="P96"/>
      <c r="Q96"/>
      <c r="R96"/>
      <c r="S96" s="72">
        <v>45733</v>
      </c>
      <c r="T96" s="72">
        <v>45741</v>
      </c>
      <c r="U96" s="72">
        <v>45741</v>
      </c>
      <c r="V96" s="72" t="s">
        <v>130</v>
      </c>
      <c r="W96" s="72">
        <v>45775</v>
      </c>
      <c r="X96" s="72">
        <v>45747</v>
      </c>
      <c r="Y96" t="s">
        <v>146</v>
      </c>
      <c r="Z96" t="s">
        <v>285</v>
      </c>
      <c r="AA96" t="s">
        <v>131</v>
      </c>
      <c r="AB96" t="s">
        <v>131</v>
      </c>
      <c r="AC96" t="s">
        <v>132</v>
      </c>
      <c r="AD96" t="s">
        <v>131</v>
      </c>
      <c r="AE96" t="s">
        <v>131</v>
      </c>
      <c r="AF96" t="s">
        <v>131</v>
      </c>
      <c r="AG96" t="s">
        <v>131</v>
      </c>
      <c r="AH96" t="s">
        <v>131</v>
      </c>
      <c r="AI96" t="s">
        <v>131</v>
      </c>
      <c r="AJ96">
        <v>0</v>
      </c>
      <c r="AK96" t="s">
        <v>131</v>
      </c>
      <c r="AL96" t="s">
        <v>148</v>
      </c>
      <c r="AM96" s="16">
        <f>IF(OR(AC96="Yes",K96="Info Request", K96="Side-Project"),0,(NETWORKDAYS(T96,U96,Holidays!A$2:A$13))-1)</f>
        <v>0</v>
      </c>
      <c r="AN96" s="16">
        <f>IF(OR(AC96="Yes",K96="Info Request", K96="Side-Project"),0,(NETWORKDAYS(U96,W96,Holidays!A$2:A$13))-1)</f>
        <v>0</v>
      </c>
      <c r="AO96" s="16">
        <f>IF(OR(V96="none"),0,((NETWORKDAYS(S96,V96,Holidays!A$2:A$13))-1))</f>
        <v>0</v>
      </c>
      <c r="AP96" s="16" t="b">
        <f t="shared" si="6"/>
        <v>1</v>
      </c>
      <c r="AQ96" s="16" t="b">
        <f t="shared" si="7"/>
        <v>1</v>
      </c>
      <c r="AR96" s="60" t="str">
        <f t="shared" si="8"/>
        <v>OK</v>
      </c>
      <c r="AS96" s="60" t="str">
        <f>IF(table_data[[#This Row],[Flagged-Issues]] = 0, "", table_data[[#This Row],[Flagged-Issues]])</f>
        <v/>
      </c>
    </row>
    <row r="97" spans="1:45" x14ac:dyDescent="0.25">
      <c r="A97" t="s">
        <v>104</v>
      </c>
      <c r="B97" t="s">
        <v>121</v>
      </c>
      <c r="C97" t="s">
        <v>122</v>
      </c>
      <c r="D97" s="65">
        <v>202503270844</v>
      </c>
      <c r="E97" t="s">
        <v>198</v>
      </c>
      <c r="F97" t="s">
        <v>134</v>
      </c>
      <c r="G97"/>
      <c r="H97" t="s">
        <v>300</v>
      </c>
      <c r="I97" t="s">
        <v>126</v>
      </c>
      <c r="J97" t="s">
        <v>167</v>
      </c>
      <c r="K97" t="s">
        <v>128</v>
      </c>
      <c r="L97">
        <v>2</v>
      </c>
      <c r="M97" t="s">
        <v>187</v>
      </c>
      <c r="N97">
        <v>8</v>
      </c>
      <c r="O97"/>
      <c r="P97"/>
      <c r="Q97"/>
      <c r="R97"/>
      <c r="S97" s="72">
        <v>45743</v>
      </c>
      <c r="T97" s="72">
        <v>45747</v>
      </c>
      <c r="U97" s="72">
        <v>45747</v>
      </c>
      <c r="V97" s="72" t="s">
        <v>130</v>
      </c>
      <c r="W97" s="72">
        <v>45772</v>
      </c>
      <c r="X97" s="72" t="s">
        <v>130</v>
      </c>
      <c r="Y97" t="s">
        <v>146</v>
      </c>
      <c r="Z97" t="s">
        <v>147</v>
      </c>
      <c r="AA97" t="s">
        <v>131</v>
      </c>
      <c r="AB97" t="s">
        <v>132</v>
      </c>
      <c r="AC97" t="s">
        <v>131</v>
      </c>
      <c r="AD97" t="s">
        <v>132</v>
      </c>
      <c r="AE97" t="s">
        <v>131</v>
      </c>
      <c r="AF97" t="s">
        <v>131</v>
      </c>
      <c r="AG97" t="s">
        <v>131</v>
      </c>
      <c r="AH97" t="s">
        <v>131</v>
      </c>
      <c r="AI97" t="s">
        <v>132</v>
      </c>
      <c r="AJ97">
        <v>0</v>
      </c>
      <c r="AK97" t="s">
        <v>131</v>
      </c>
      <c r="AL97" t="s">
        <v>148</v>
      </c>
      <c r="AM97" s="16">
        <f>IF(OR(AC97="Yes",K97="Info Request", K97="Side-Project"),0,(NETWORKDAYS(T97,U97,Holidays!A$2:A$13))-1)</f>
        <v>0</v>
      </c>
      <c r="AN97" s="16">
        <f>IF(OR(AC97="Yes",K97="Info Request", K97="Side-Project"),0,(NETWORKDAYS(U97,W97,Holidays!A$2:A$13))-1)</f>
        <v>17</v>
      </c>
      <c r="AO97" s="16">
        <f>IF(OR(V97="none"),0,((NETWORKDAYS(S97,V97,Holidays!A$2:A$13))-1))</f>
        <v>0</v>
      </c>
      <c r="AP97" s="16" t="b">
        <f t="shared" si="6"/>
        <v>1</v>
      </c>
      <c r="AQ97" s="16" t="b">
        <f t="shared" si="7"/>
        <v>1</v>
      </c>
      <c r="AR97" s="60" t="str">
        <f t="shared" si="8"/>
        <v>OK</v>
      </c>
      <c r="AS97" s="60" t="str">
        <f>IF(table_data[[#This Row],[Flagged-Issues]] = 0, "", table_data[[#This Row],[Flagged-Issues]])</f>
        <v/>
      </c>
    </row>
    <row r="98" spans="1:45" x14ac:dyDescent="0.25">
      <c r="A98" t="s">
        <v>104</v>
      </c>
      <c r="B98" t="s">
        <v>121</v>
      </c>
      <c r="C98" t="s">
        <v>122</v>
      </c>
      <c r="D98" s="65">
        <v>202504291135</v>
      </c>
      <c r="E98" t="s">
        <v>301</v>
      </c>
      <c r="F98" t="s">
        <v>134</v>
      </c>
      <c r="G98"/>
      <c r="H98" t="s">
        <v>302</v>
      </c>
      <c r="I98" t="s">
        <v>126</v>
      </c>
      <c r="J98" t="s">
        <v>136</v>
      </c>
      <c r="K98" t="s">
        <v>128</v>
      </c>
      <c r="L98">
        <v>2</v>
      </c>
      <c r="M98" t="s">
        <v>303</v>
      </c>
      <c r="N98">
        <v>1</v>
      </c>
      <c r="O98"/>
      <c r="P98"/>
      <c r="Q98"/>
      <c r="R98"/>
      <c r="S98" s="72">
        <v>45776</v>
      </c>
      <c r="T98" s="72">
        <v>45776</v>
      </c>
      <c r="U98" s="72">
        <v>45776</v>
      </c>
      <c r="V98" s="72" t="s">
        <v>130</v>
      </c>
      <c r="W98" s="72">
        <v>45776</v>
      </c>
      <c r="X98" s="72" t="s">
        <v>130</v>
      </c>
      <c r="Y98"/>
      <c r="Z98"/>
      <c r="AA98" t="s">
        <v>131</v>
      </c>
      <c r="AB98" t="s">
        <v>132</v>
      </c>
      <c r="AC98" t="s">
        <v>131</v>
      </c>
      <c r="AD98" t="s">
        <v>131</v>
      </c>
      <c r="AE98" t="s">
        <v>131</v>
      </c>
      <c r="AF98" t="s">
        <v>131</v>
      </c>
      <c r="AG98" t="s">
        <v>131</v>
      </c>
      <c r="AH98" t="s">
        <v>131</v>
      </c>
      <c r="AI98" t="s">
        <v>131</v>
      </c>
      <c r="AJ98">
        <v>0</v>
      </c>
      <c r="AK98" t="s">
        <v>131</v>
      </c>
      <c r="AL98" t="s">
        <v>132</v>
      </c>
      <c r="AM98" s="16">
        <f>IF(OR(AC98="Yes",K98="Info Request", K98="Side-Project"),0,(NETWORKDAYS(T98,U98,Holidays!A$2:A$13))-1)</f>
        <v>0</v>
      </c>
      <c r="AN98" s="16">
        <f>IF(OR(AC98="Yes",K98="Info Request", K98="Side-Project"),0,(NETWORKDAYS(U98,W98,Holidays!A$2:A$13))-1)</f>
        <v>0</v>
      </c>
      <c r="AO98" s="16">
        <f>IF(OR(V98="none"),0,((NETWORKDAYS(S98,V98,Holidays!A$2:A$13))-1))</f>
        <v>0</v>
      </c>
      <c r="AP98" s="16" t="b">
        <f t="shared" si="6"/>
        <v>1</v>
      </c>
      <c r="AQ98" s="16" t="b">
        <f t="shared" si="7"/>
        <v>1</v>
      </c>
      <c r="AR98" s="60" t="str">
        <f t="shared" si="8"/>
        <v>OK</v>
      </c>
      <c r="AS98" s="60" t="str">
        <f>IF(table_data[[#This Row],[Flagged-Issues]] = 0, "", table_data[[#This Row],[Flagged-Issues]])</f>
        <v/>
      </c>
    </row>
    <row r="99" spans="1:45" x14ac:dyDescent="0.25">
      <c r="A99" t="s">
        <v>104</v>
      </c>
      <c r="B99" t="s">
        <v>121</v>
      </c>
      <c r="C99" t="s">
        <v>122</v>
      </c>
      <c r="D99" s="65">
        <v>202503201346</v>
      </c>
      <c r="E99" t="s">
        <v>233</v>
      </c>
      <c r="F99" t="s">
        <v>134</v>
      </c>
      <c r="G99"/>
      <c r="H99" t="s">
        <v>304</v>
      </c>
      <c r="I99" t="s">
        <v>203</v>
      </c>
      <c r="J99" t="s">
        <v>167</v>
      </c>
      <c r="K99" t="s">
        <v>128</v>
      </c>
      <c r="L99">
        <v>1</v>
      </c>
      <c r="M99" t="s">
        <v>129</v>
      </c>
      <c r="N99">
        <v>2</v>
      </c>
      <c r="O99"/>
      <c r="P99"/>
      <c r="Q99"/>
      <c r="R99"/>
      <c r="S99" s="72">
        <v>45736</v>
      </c>
      <c r="T99" s="72">
        <v>45737</v>
      </c>
      <c r="U99" s="72">
        <v>45737</v>
      </c>
      <c r="V99" s="72">
        <v>45740</v>
      </c>
      <c r="W99" s="72">
        <v>45772</v>
      </c>
      <c r="X99" s="72">
        <v>45737</v>
      </c>
      <c r="Y99"/>
      <c r="Z99"/>
      <c r="AA99" t="s">
        <v>131</v>
      </c>
      <c r="AB99" t="s">
        <v>131</v>
      </c>
      <c r="AC99" t="s">
        <v>131</v>
      </c>
      <c r="AD99" t="s">
        <v>131</v>
      </c>
      <c r="AE99" t="s">
        <v>131</v>
      </c>
      <c r="AF99" t="s">
        <v>131</v>
      </c>
      <c r="AG99" t="s">
        <v>131</v>
      </c>
      <c r="AH99" t="s">
        <v>131</v>
      </c>
      <c r="AI99" t="s">
        <v>131</v>
      </c>
      <c r="AJ99">
        <v>0</v>
      </c>
      <c r="AK99" t="s">
        <v>131</v>
      </c>
      <c r="AL99" t="s">
        <v>132</v>
      </c>
      <c r="AM99" s="16">
        <f>IF(OR(AC99="Yes",K99="Info Request", K99="Side-Project"),0,(NETWORKDAYS(T99,U99,Holidays!A$2:A$13))-1)</f>
        <v>0</v>
      </c>
      <c r="AN99" s="16">
        <f>IF(OR(AC99="Yes",K99="Info Request", K99="Side-Project"),0,(NETWORKDAYS(U99,W99,Holidays!A$2:A$13))-1)</f>
        <v>23</v>
      </c>
      <c r="AO99" s="16">
        <f>IF(OR(V99="none"),0,((NETWORKDAYS(S99,V99,Holidays!A$2:A$13))-1))</f>
        <v>2</v>
      </c>
      <c r="AP99" s="16" t="b">
        <f t="shared" si="6"/>
        <v>0</v>
      </c>
      <c r="AQ99" s="16" t="b">
        <f t="shared" si="7"/>
        <v>1</v>
      </c>
      <c r="AR99" s="60" t="str">
        <f t="shared" si="8"/>
        <v>OK</v>
      </c>
      <c r="AS99" s="60" t="str">
        <f>IF(table_data[[#This Row],[Flagged-Issues]] = 0, "", table_data[[#This Row],[Flagged-Issues]])</f>
        <v/>
      </c>
    </row>
    <row r="100" spans="1:45" x14ac:dyDescent="0.25">
      <c r="A100" t="s">
        <v>104</v>
      </c>
      <c r="B100" t="s">
        <v>154</v>
      </c>
      <c r="C100" t="s">
        <v>122</v>
      </c>
      <c r="D100" s="65">
        <v>202503311308</v>
      </c>
      <c r="E100" t="s">
        <v>263</v>
      </c>
      <c r="F100" t="s">
        <v>134</v>
      </c>
      <c r="G100"/>
      <c r="H100" t="s">
        <v>305</v>
      </c>
      <c r="I100" t="s">
        <v>126</v>
      </c>
      <c r="J100" t="s">
        <v>136</v>
      </c>
      <c r="K100" t="s">
        <v>128</v>
      </c>
      <c r="L100">
        <v>2</v>
      </c>
      <c r="M100" t="s">
        <v>143</v>
      </c>
      <c r="N100"/>
      <c r="O100"/>
      <c r="P100"/>
      <c r="Q100">
        <v>1</v>
      </c>
      <c r="R100"/>
      <c r="S100" s="72">
        <v>45747</v>
      </c>
      <c r="T100" s="72">
        <v>45747</v>
      </c>
      <c r="U100" s="72">
        <v>45747</v>
      </c>
      <c r="V100" s="72" t="s">
        <v>130</v>
      </c>
      <c r="W100" s="72">
        <v>45748</v>
      </c>
      <c r="X100" s="72" t="s">
        <v>130</v>
      </c>
      <c r="Y100"/>
      <c r="Z100"/>
      <c r="AA100" t="s">
        <v>131</v>
      </c>
      <c r="AB100" t="s">
        <v>131</v>
      </c>
      <c r="AC100" t="s">
        <v>131</v>
      </c>
      <c r="AD100" t="s">
        <v>131</v>
      </c>
      <c r="AE100" t="s">
        <v>131</v>
      </c>
      <c r="AF100" t="s">
        <v>131</v>
      </c>
      <c r="AG100" t="s">
        <v>131</v>
      </c>
      <c r="AH100" t="s">
        <v>131</v>
      </c>
      <c r="AI100" t="s">
        <v>131</v>
      </c>
      <c r="AJ100">
        <v>0</v>
      </c>
      <c r="AK100" t="s">
        <v>131</v>
      </c>
      <c r="AL100" t="s">
        <v>132</v>
      </c>
      <c r="AM100" s="16">
        <f>IF(OR(AC100="Yes",K100="Info Request", K100="Side-Project"),0,(NETWORKDAYS(T100,U100,Holidays!A$2:A$13))-1)</f>
        <v>0</v>
      </c>
      <c r="AN100" s="16">
        <f>IF(OR(AC100="Yes",K100="Info Request", K100="Side-Project"),0,(NETWORKDAYS(U100,W100,Holidays!A$2:A$13))-1)</f>
        <v>1</v>
      </c>
      <c r="AO100" s="16">
        <f>IF(OR(V100="none"),0,((NETWORKDAYS(S100,V100,Holidays!A$2:A$13))-1))</f>
        <v>0</v>
      </c>
      <c r="AP100" s="16" t="b">
        <f t="shared" si="6"/>
        <v>1</v>
      </c>
      <c r="AQ100" s="16" t="b">
        <f t="shared" si="7"/>
        <v>1</v>
      </c>
      <c r="AR100" s="60" t="str">
        <f t="shared" si="8"/>
        <v>OK</v>
      </c>
      <c r="AS100" s="60" t="str">
        <f>IF(table_data[[#This Row],[Flagged-Issues]] = 0, "", table_data[[#This Row],[Flagged-Issues]])</f>
        <v/>
      </c>
    </row>
    <row r="101" spans="1:45" x14ac:dyDescent="0.25">
      <c r="A101" t="s">
        <v>104</v>
      </c>
      <c r="B101" t="s">
        <v>121</v>
      </c>
      <c r="C101" t="s">
        <v>122</v>
      </c>
      <c r="D101" s="65">
        <v>202504020917</v>
      </c>
      <c r="E101" t="s">
        <v>263</v>
      </c>
      <c r="F101" t="s">
        <v>134</v>
      </c>
      <c r="G101"/>
      <c r="H101" t="s">
        <v>306</v>
      </c>
      <c r="I101" t="s">
        <v>126</v>
      </c>
      <c r="J101" t="s">
        <v>167</v>
      </c>
      <c r="K101" t="s">
        <v>128</v>
      </c>
      <c r="L101">
        <v>2</v>
      </c>
      <c r="M101" t="s">
        <v>162</v>
      </c>
      <c r="N101">
        <v>3</v>
      </c>
      <c r="O101"/>
      <c r="P101"/>
      <c r="Q101"/>
      <c r="R101"/>
      <c r="S101" s="72">
        <v>45749</v>
      </c>
      <c r="T101" s="72">
        <v>45749</v>
      </c>
      <c r="U101" s="72">
        <v>45749</v>
      </c>
      <c r="V101" s="72" t="s">
        <v>130</v>
      </c>
      <c r="W101" s="72">
        <v>45749</v>
      </c>
      <c r="X101" s="72" t="s">
        <v>130</v>
      </c>
      <c r="Y101"/>
      <c r="Z101"/>
      <c r="AA101" t="s">
        <v>131</v>
      </c>
      <c r="AB101" t="s">
        <v>132</v>
      </c>
      <c r="AC101" t="s">
        <v>131</v>
      </c>
      <c r="AD101" t="s">
        <v>131</v>
      </c>
      <c r="AE101" t="s">
        <v>131</v>
      </c>
      <c r="AF101" t="s">
        <v>131</v>
      </c>
      <c r="AG101" t="s">
        <v>131</v>
      </c>
      <c r="AH101" t="s">
        <v>131</v>
      </c>
      <c r="AI101" t="s">
        <v>131</v>
      </c>
      <c r="AJ101">
        <v>0</v>
      </c>
      <c r="AK101" t="s">
        <v>131</v>
      </c>
      <c r="AL101" t="s">
        <v>132</v>
      </c>
      <c r="AM101" s="16">
        <f>IF(OR(AC101="Yes",K101="Info Request", K101="Side-Project"),0,(NETWORKDAYS(T101,U101,Holidays!A$2:A$13))-1)</f>
        <v>0</v>
      </c>
      <c r="AN101" s="16">
        <f>IF(OR(AC101="Yes",K101="Info Request", K101="Side-Project"),0,(NETWORKDAYS(U101,W101,Holidays!A$2:A$13))-1)</f>
        <v>0</v>
      </c>
      <c r="AO101" s="16">
        <f>IF(OR(V101="none"),0,((NETWORKDAYS(S101,V101,Holidays!A$2:A$13))-1))</f>
        <v>0</v>
      </c>
      <c r="AP101" s="16" t="b">
        <f t="shared" si="6"/>
        <v>1</v>
      </c>
      <c r="AQ101" s="16" t="b">
        <f t="shared" si="7"/>
        <v>1</v>
      </c>
      <c r="AR101" s="60" t="str">
        <f t="shared" si="8"/>
        <v>OK</v>
      </c>
      <c r="AS101" s="60" t="str">
        <f>IF(table_data[[#This Row],[Flagged-Issues]] = 0, "", table_data[[#This Row],[Flagged-Issues]])</f>
        <v/>
      </c>
    </row>
    <row r="102" spans="1:45" x14ac:dyDescent="0.25">
      <c r="A102" t="s">
        <v>104</v>
      </c>
      <c r="B102" t="s">
        <v>121</v>
      </c>
      <c r="C102" t="s">
        <v>122</v>
      </c>
      <c r="D102" s="65">
        <v>202504091052</v>
      </c>
      <c r="E102" t="s">
        <v>190</v>
      </c>
      <c r="F102" t="s">
        <v>191</v>
      </c>
      <c r="G102"/>
      <c r="H102" t="s">
        <v>307</v>
      </c>
      <c r="I102" t="s">
        <v>126</v>
      </c>
      <c r="J102" t="s">
        <v>127</v>
      </c>
      <c r="K102" t="s">
        <v>128</v>
      </c>
      <c r="L102">
        <v>2</v>
      </c>
      <c r="M102" t="s">
        <v>162</v>
      </c>
      <c r="N102">
        <v>1</v>
      </c>
      <c r="O102"/>
      <c r="P102"/>
      <c r="Q102"/>
      <c r="R102"/>
      <c r="S102" s="72">
        <v>45756</v>
      </c>
      <c r="T102" s="72">
        <v>45758</v>
      </c>
      <c r="U102" s="72">
        <v>45758</v>
      </c>
      <c r="V102" s="72" t="s">
        <v>130</v>
      </c>
      <c r="W102" s="72">
        <v>45758</v>
      </c>
      <c r="X102" s="72" t="s">
        <v>130</v>
      </c>
      <c r="Y102" t="s">
        <v>146</v>
      </c>
      <c r="Z102" t="s">
        <v>147</v>
      </c>
      <c r="AA102" t="s">
        <v>131</v>
      </c>
      <c r="AB102" t="s">
        <v>131</v>
      </c>
      <c r="AC102" t="s">
        <v>131</v>
      </c>
      <c r="AD102" t="s">
        <v>131</v>
      </c>
      <c r="AE102" t="s">
        <v>131</v>
      </c>
      <c r="AF102" t="s">
        <v>131</v>
      </c>
      <c r="AG102" t="s">
        <v>131</v>
      </c>
      <c r="AH102" t="s">
        <v>131</v>
      </c>
      <c r="AI102" t="s">
        <v>131</v>
      </c>
      <c r="AJ102">
        <v>0</v>
      </c>
      <c r="AK102" t="s">
        <v>131</v>
      </c>
      <c r="AL102" t="s">
        <v>148</v>
      </c>
      <c r="AM102" s="16">
        <f>IF(OR(AC102="Yes",K102="Info Request", K102="Side-Project"),0,(NETWORKDAYS(T102,U102,Holidays!A$2:A$13))-1)</f>
        <v>0</v>
      </c>
      <c r="AN102" s="16">
        <f>IF(OR(AC102="Yes",K102="Info Request", K102="Side-Project"),0,(NETWORKDAYS(U102,W102,Holidays!A$2:A$13))-1)</f>
        <v>0</v>
      </c>
      <c r="AO102" s="16">
        <f>IF(OR(V102="none"),0,((NETWORKDAYS(S102,V102,Holidays!A$2:A$13))-1))</f>
        <v>0</v>
      </c>
      <c r="AP102" s="16" t="b">
        <f t="shared" si="6"/>
        <v>1</v>
      </c>
      <c r="AQ102" s="16" t="b">
        <f t="shared" si="7"/>
        <v>1</v>
      </c>
      <c r="AR102" s="60" t="str">
        <f t="shared" si="8"/>
        <v>OK</v>
      </c>
      <c r="AS102" s="60" t="str">
        <f>IF(table_data[[#This Row],[Flagged-Issues]] = 0, "", table_data[[#This Row],[Flagged-Issues]])</f>
        <v/>
      </c>
    </row>
    <row r="103" spans="1:45" x14ac:dyDescent="0.25">
      <c r="A103" t="s">
        <v>104</v>
      </c>
      <c r="B103" t="s">
        <v>121</v>
      </c>
      <c r="C103" t="s">
        <v>122</v>
      </c>
      <c r="D103" s="65">
        <v>202504240930</v>
      </c>
      <c r="E103" t="s">
        <v>190</v>
      </c>
      <c r="F103" t="s">
        <v>191</v>
      </c>
      <c r="G103"/>
      <c r="H103" t="s">
        <v>308</v>
      </c>
      <c r="I103" t="s">
        <v>126</v>
      </c>
      <c r="J103" t="s">
        <v>157</v>
      </c>
      <c r="K103" t="s">
        <v>128</v>
      </c>
      <c r="L103">
        <v>2</v>
      </c>
      <c r="M103" t="s">
        <v>261</v>
      </c>
      <c r="N103">
        <v>2</v>
      </c>
      <c r="O103"/>
      <c r="P103"/>
      <c r="Q103"/>
      <c r="R103"/>
      <c r="S103" s="72">
        <v>45771</v>
      </c>
      <c r="T103" s="72">
        <v>45772</v>
      </c>
      <c r="U103" s="72">
        <v>45772</v>
      </c>
      <c r="V103" s="72" t="s">
        <v>130</v>
      </c>
      <c r="W103" s="72">
        <v>45772</v>
      </c>
      <c r="X103" s="72" t="s">
        <v>130</v>
      </c>
      <c r="Y103" t="s">
        <v>146</v>
      </c>
      <c r="Z103" t="s">
        <v>147</v>
      </c>
      <c r="AA103" t="s">
        <v>131</v>
      </c>
      <c r="AB103" t="s">
        <v>132</v>
      </c>
      <c r="AC103" t="s">
        <v>131</v>
      </c>
      <c r="AD103" t="s">
        <v>131</v>
      </c>
      <c r="AE103" t="s">
        <v>131</v>
      </c>
      <c r="AF103" t="s">
        <v>131</v>
      </c>
      <c r="AG103" t="s">
        <v>131</v>
      </c>
      <c r="AH103" t="s">
        <v>131</v>
      </c>
      <c r="AI103" t="s">
        <v>131</v>
      </c>
      <c r="AJ103">
        <v>0</v>
      </c>
      <c r="AK103" t="s">
        <v>131</v>
      </c>
      <c r="AL103" t="s">
        <v>131</v>
      </c>
      <c r="AM103" s="16">
        <f>IF(OR(AC103="Yes",K103="Info Request", K103="Side-Project"),0,(NETWORKDAYS(T103,U103,Holidays!A$2:A$13))-1)</f>
        <v>0</v>
      </c>
      <c r="AN103" s="16">
        <f>IF(OR(AC103="Yes",K103="Info Request", K103="Side-Project"),0,(NETWORKDAYS(U103,W103,Holidays!A$2:A$13))-1)</f>
        <v>0</v>
      </c>
      <c r="AO103" s="16">
        <f>IF(OR(V103="none"),0,((NETWORKDAYS(S103,V103,Holidays!A$2:A$13))-1))</f>
        <v>0</v>
      </c>
      <c r="AP103" s="16" t="b">
        <f t="shared" si="6"/>
        <v>1</v>
      </c>
      <c r="AQ103" s="16" t="b">
        <f t="shared" si="7"/>
        <v>1</v>
      </c>
      <c r="AR103" s="60" t="str">
        <f t="shared" si="8"/>
        <v>OK</v>
      </c>
      <c r="AS103" s="60" t="str">
        <f>IF(table_data[[#This Row],[Flagged-Issues]] = 0, "", table_data[[#This Row],[Flagged-Issues]])</f>
        <v/>
      </c>
    </row>
    <row r="104" spans="1:45" x14ac:dyDescent="0.25">
      <c r="A104" t="s">
        <v>104</v>
      </c>
      <c r="B104" t="s">
        <v>121</v>
      </c>
      <c r="C104" t="s">
        <v>122</v>
      </c>
      <c r="D104" s="65">
        <v>202504161340</v>
      </c>
      <c r="E104" t="s">
        <v>190</v>
      </c>
      <c r="F104" t="s">
        <v>191</v>
      </c>
      <c r="G104"/>
      <c r="H104" t="s">
        <v>309</v>
      </c>
      <c r="I104" t="s">
        <v>126</v>
      </c>
      <c r="J104" t="s">
        <v>190</v>
      </c>
      <c r="K104" t="s">
        <v>128</v>
      </c>
      <c r="L104">
        <v>1</v>
      </c>
      <c r="M104" t="s">
        <v>137</v>
      </c>
      <c r="N104">
        <v>1</v>
      </c>
      <c r="O104"/>
      <c r="P104"/>
      <c r="Q104"/>
      <c r="R104"/>
      <c r="S104" s="72">
        <v>45763</v>
      </c>
      <c r="T104" s="72">
        <v>45763</v>
      </c>
      <c r="U104" s="72">
        <v>45763</v>
      </c>
      <c r="V104" s="72" t="s">
        <v>130</v>
      </c>
      <c r="W104" s="72">
        <v>45763</v>
      </c>
      <c r="X104" s="72" t="s">
        <v>130</v>
      </c>
      <c r="Y104"/>
      <c r="Z104"/>
      <c r="AA104" t="s">
        <v>131</v>
      </c>
      <c r="AB104" t="s">
        <v>132</v>
      </c>
      <c r="AC104" t="s">
        <v>131</v>
      </c>
      <c r="AD104" t="s">
        <v>131</v>
      </c>
      <c r="AE104" t="s">
        <v>131</v>
      </c>
      <c r="AF104" t="s">
        <v>131</v>
      </c>
      <c r="AG104" t="s">
        <v>131</v>
      </c>
      <c r="AH104" t="s">
        <v>131</v>
      </c>
      <c r="AI104" t="s">
        <v>131</v>
      </c>
      <c r="AJ104">
        <v>0</v>
      </c>
      <c r="AK104" t="s">
        <v>131</v>
      </c>
      <c r="AL104" t="s">
        <v>132</v>
      </c>
      <c r="AM104" s="16">
        <f>IF(OR(AC104="Yes",K104="Info Request", K104="Side-Project"),0,(NETWORKDAYS(T104,U104,Holidays!A$2:A$13))-1)</f>
        <v>0</v>
      </c>
      <c r="AN104" s="16">
        <f>IF(OR(AC104="Yes",K104="Info Request", K104="Side-Project"),0,(NETWORKDAYS(U104,W104,Holidays!A$2:A$13))-1)</f>
        <v>0</v>
      </c>
      <c r="AO104" s="16">
        <f>IF(OR(V104="none"),0,((NETWORKDAYS(S104,V104,Holidays!A$2:A$13))-1))</f>
        <v>0</v>
      </c>
      <c r="AP104" s="16" t="b">
        <f t="shared" si="6"/>
        <v>1</v>
      </c>
      <c r="AQ104" s="16" t="b">
        <f t="shared" si="7"/>
        <v>1</v>
      </c>
      <c r="AR104" s="60" t="str">
        <f t="shared" si="8"/>
        <v>OK</v>
      </c>
      <c r="AS104" s="60" t="str">
        <f>IF(table_data[[#This Row],[Flagged-Issues]] = 0, "", table_data[[#This Row],[Flagged-Issues]])</f>
        <v/>
      </c>
    </row>
    <row r="105" spans="1:45" x14ac:dyDescent="0.25">
      <c r="A105" t="s">
        <v>104</v>
      </c>
      <c r="B105" t="s">
        <v>121</v>
      </c>
      <c r="C105" t="s">
        <v>122</v>
      </c>
      <c r="D105" s="65">
        <v>202504140913</v>
      </c>
      <c r="E105" t="s">
        <v>190</v>
      </c>
      <c r="F105" t="s">
        <v>191</v>
      </c>
      <c r="G105"/>
      <c r="H105" t="s">
        <v>309</v>
      </c>
      <c r="I105" t="s">
        <v>126</v>
      </c>
      <c r="J105" t="s">
        <v>151</v>
      </c>
      <c r="K105" t="s">
        <v>128</v>
      </c>
      <c r="L105">
        <v>2</v>
      </c>
      <c r="M105" t="s">
        <v>141</v>
      </c>
      <c r="N105">
        <v>1</v>
      </c>
      <c r="O105"/>
      <c r="P105"/>
      <c r="Q105"/>
      <c r="R105"/>
      <c r="S105" s="72">
        <v>45761</v>
      </c>
      <c r="T105" s="72">
        <v>45761</v>
      </c>
      <c r="U105" s="72">
        <v>45761</v>
      </c>
      <c r="V105" s="72" t="s">
        <v>130</v>
      </c>
      <c r="W105" s="72">
        <v>45761</v>
      </c>
      <c r="X105" s="72" t="s">
        <v>130</v>
      </c>
      <c r="Y105" t="s">
        <v>146</v>
      </c>
      <c r="Z105" t="s">
        <v>147</v>
      </c>
      <c r="AA105" t="s">
        <v>131</v>
      </c>
      <c r="AB105" t="s">
        <v>132</v>
      </c>
      <c r="AC105" t="s">
        <v>131</v>
      </c>
      <c r="AD105" t="s">
        <v>131</v>
      </c>
      <c r="AE105" t="s">
        <v>131</v>
      </c>
      <c r="AF105" t="s">
        <v>131</v>
      </c>
      <c r="AG105" t="s">
        <v>131</v>
      </c>
      <c r="AH105" t="s">
        <v>131</v>
      </c>
      <c r="AI105" t="s">
        <v>131</v>
      </c>
      <c r="AJ105">
        <v>1</v>
      </c>
      <c r="AK105" t="s">
        <v>131</v>
      </c>
      <c r="AL105" t="s">
        <v>148</v>
      </c>
      <c r="AM105" s="16">
        <f>IF(OR(AC105="Yes",K105="Info Request", K105="Side-Project"),0,(NETWORKDAYS(T105,U105,Holidays!A$2:A$13))-1)</f>
        <v>0</v>
      </c>
      <c r="AN105" s="16">
        <f>IF(OR(AC105="Yes",K105="Info Request", K105="Side-Project"),0,(NETWORKDAYS(U105,W105,Holidays!A$2:A$13))-1)</f>
        <v>0</v>
      </c>
      <c r="AO105" s="16">
        <f>IF(OR(V105="none"),0,((NETWORKDAYS(S105,V105,Holidays!A$2:A$13))-1))</f>
        <v>0</v>
      </c>
      <c r="AP105" s="16" t="b">
        <f t="shared" si="6"/>
        <v>1</v>
      </c>
      <c r="AQ105" s="16" t="b">
        <f t="shared" si="7"/>
        <v>1</v>
      </c>
      <c r="AR105" s="60" t="str">
        <f t="shared" si="8"/>
        <v>OK</v>
      </c>
      <c r="AS105" s="60">
        <f>IF(table_data[[#This Row],[Flagged-Issues]] = 0, "", table_data[[#This Row],[Flagged-Issues]])</f>
        <v>1</v>
      </c>
    </row>
    <row r="106" spans="1:45" x14ac:dyDescent="0.25">
      <c r="A106" t="s">
        <v>104</v>
      </c>
      <c r="B106" t="s">
        <v>121</v>
      </c>
      <c r="C106" t="s">
        <v>122</v>
      </c>
      <c r="D106" s="65">
        <v>202504070415</v>
      </c>
      <c r="E106" t="s">
        <v>190</v>
      </c>
      <c r="F106" t="s">
        <v>191</v>
      </c>
      <c r="G106"/>
      <c r="H106" t="s">
        <v>310</v>
      </c>
      <c r="I106" t="s">
        <v>164</v>
      </c>
      <c r="J106" t="s">
        <v>190</v>
      </c>
      <c r="K106" t="s">
        <v>128</v>
      </c>
      <c r="L106">
        <v>1</v>
      </c>
      <c r="M106" t="s">
        <v>143</v>
      </c>
      <c r="N106">
        <v>1</v>
      </c>
      <c r="O106"/>
      <c r="P106"/>
      <c r="Q106"/>
      <c r="R106"/>
      <c r="S106" s="72">
        <v>45754</v>
      </c>
      <c r="T106" s="72">
        <v>45754</v>
      </c>
      <c r="U106" s="72">
        <v>45754</v>
      </c>
      <c r="V106" s="72">
        <v>45754</v>
      </c>
      <c r="W106" s="72">
        <v>45754</v>
      </c>
      <c r="X106" s="72">
        <v>45754</v>
      </c>
      <c r="Y106"/>
      <c r="Z106"/>
      <c r="AA106" t="s">
        <v>131</v>
      </c>
      <c r="AB106" t="s">
        <v>132</v>
      </c>
      <c r="AC106" t="s">
        <v>131</v>
      </c>
      <c r="AD106" t="s">
        <v>131</v>
      </c>
      <c r="AE106" t="s">
        <v>131</v>
      </c>
      <c r="AF106" t="s">
        <v>131</v>
      </c>
      <c r="AG106" t="s">
        <v>131</v>
      </c>
      <c r="AH106" t="s">
        <v>131</v>
      </c>
      <c r="AI106" t="s">
        <v>131</v>
      </c>
      <c r="AJ106">
        <v>0</v>
      </c>
      <c r="AK106" t="s">
        <v>131</v>
      </c>
      <c r="AL106" t="s">
        <v>132</v>
      </c>
      <c r="AM106" s="16">
        <f>IF(OR(AC106="Yes",K106="Info Request", K106="Side-Project"),0,(NETWORKDAYS(T106,U106,Holidays!A$2:A$13))-1)</f>
        <v>0</v>
      </c>
      <c r="AN106" s="16">
        <f>IF(OR(AC106="Yes",K106="Info Request", K106="Side-Project"),0,(NETWORKDAYS(U106,W106,Holidays!A$2:A$13))-1)</f>
        <v>0</v>
      </c>
      <c r="AO106" s="16">
        <f>IF(OR(V106="none"),0,((NETWORKDAYS(S106,V106,Holidays!A$2:A$13))-1))</f>
        <v>0</v>
      </c>
      <c r="AP106" s="16" t="b">
        <f t="shared" si="6"/>
        <v>1</v>
      </c>
      <c r="AQ106" s="16" t="b">
        <f t="shared" si="7"/>
        <v>1</v>
      </c>
      <c r="AR106" s="60" t="str">
        <f t="shared" si="8"/>
        <v>OK</v>
      </c>
      <c r="AS106" s="60" t="str">
        <f>IF(table_data[[#This Row],[Flagged-Issues]] = 0, "", table_data[[#This Row],[Flagged-Issues]])</f>
        <v/>
      </c>
    </row>
    <row r="107" spans="1:45" x14ac:dyDescent="0.25">
      <c r="A107" t="s">
        <v>104</v>
      </c>
      <c r="B107" t="s">
        <v>121</v>
      </c>
      <c r="C107" t="s">
        <v>122</v>
      </c>
      <c r="D107" s="65">
        <v>202503311416</v>
      </c>
      <c r="E107" t="s">
        <v>210</v>
      </c>
      <c r="F107" t="s">
        <v>134</v>
      </c>
      <c r="G107"/>
      <c r="H107" t="s">
        <v>311</v>
      </c>
      <c r="I107" t="s">
        <v>126</v>
      </c>
      <c r="J107" t="s">
        <v>249</v>
      </c>
      <c r="K107" t="s">
        <v>128</v>
      </c>
      <c r="L107">
        <v>2</v>
      </c>
      <c r="M107" t="s">
        <v>129</v>
      </c>
      <c r="N107">
        <v>4</v>
      </c>
      <c r="O107"/>
      <c r="P107"/>
      <c r="Q107"/>
      <c r="R107"/>
      <c r="S107" s="72">
        <v>45747</v>
      </c>
      <c r="T107" s="72">
        <v>45748</v>
      </c>
      <c r="U107" s="72">
        <v>45748</v>
      </c>
      <c r="V107" s="72" t="s">
        <v>130</v>
      </c>
      <c r="W107" s="72">
        <v>45748</v>
      </c>
      <c r="X107" s="72" t="s">
        <v>130</v>
      </c>
      <c r="Y107" t="s">
        <v>146</v>
      </c>
      <c r="Z107" t="s">
        <v>147</v>
      </c>
      <c r="AA107" t="s">
        <v>131</v>
      </c>
      <c r="AB107" t="s">
        <v>132</v>
      </c>
      <c r="AC107" t="s">
        <v>131</v>
      </c>
      <c r="AD107" t="s">
        <v>131</v>
      </c>
      <c r="AE107" t="s">
        <v>131</v>
      </c>
      <c r="AF107" t="s">
        <v>131</v>
      </c>
      <c r="AG107" t="s">
        <v>131</v>
      </c>
      <c r="AH107" t="s">
        <v>131</v>
      </c>
      <c r="AI107" t="s">
        <v>131</v>
      </c>
      <c r="AJ107">
        <v>0</v>
      </c>
      <c r="AK107" t="s">
        <v>131</v>
      </c>
      <c r="AL107" t="s">
        <v>148</v>
      </c>
      <c r="AM107" s="16">
        <f>IF(OR(AC107="Yes",K107="Info Request", K107="Side-Project"),0,(NETWORKDAYS(T107,U107,Holidays!A$2:A$13))-1)</f>
        <v>0</v>
      </c>
      <c r="AN107" s="16">
        <f>IF(OR(AC107="Yes",K107="Info Request", K107="Side-Project"),0,(NETWORKDAYS(U107,W107,Holidays!A$2:A$13))-1)</f>
        <v>0</v>
      </c>
      <c r="AO107" s="16">
        <f>IF(OR(V107="none"),0,((NETWORKDAYS(S107,V107,Holidays!A$2:A$13))-1))</f>
        <v>0</v>
      </c>
      <c r="AP107" s="16" t="b">
        <f t="shared" si="6"/>
        <v>1</v>
      </c>
      <c r="AQ107" s="16" t="b">
        <f t="shared" si="7"/>
        <v>1</v>
      </c>
      <c r="AR107" s="60" t="str">
        <f t="shared" si="8"/>
        <v>OK</v>
      </c>
      <c r="AS107" s="60" t="str">
        <f>IF(table_data[[#This Row],[Flagged-Issues]] = 0, "", table_data[[#This Row],[Flagged-Issues]])</f>
        <v/>
      </c>
    </row>
    <row r="108" spans="1:45" x14ac:dyDescent="0.25">
      <c r="A108" t="s">
        <v>104</v>
      </c>
      <c r="B108" t="s">
        <v>121</v>
      </c>
      <c r="C108" t="s">
        <v>122</v>
      </c>
      <c r="D108" s="65">
        <v>202503251436</v>
      </c>
      <c r="E108" t="s">
        <v>210</v>
      </c>
      <c r="F108" t="s">
        <v>134</v>
      </c>
      <c r="G108"/>
      <c r="H108" t="s">
        <v>312</v>
      </c>
      <c r="I108" t="s">
        <v>126</v>
      </c>
      <c r="J108" t="s">
        <v>136</v>
      </c>
      <c r="K108" t="s">
        <v>128</v>
      </c>
      <c r="L108">
        <v>2</v>
      </c>
      <c r="M108" t="s">
        <v>162</v>
      </c>
      <c r="N108">
        <v>3</v>
      </c>
      <c r="O108"/>
      <c r="P108"/>
      <c r="Q108"/>
      <c r="R108"/>
      <c r="S108" s="72">
        <v>45741</v>
      </c>
      <c r="T108" s="72">
        <v>45744</v>
      </c>
      <c r="U108" s="72">
        <v>45744</v>
      </c>
      <c r="V108" s="72" t="s">
        <v>130</v>
      </c>
      <c r="W108" s="72">
        <v>45748</v>
      </c>
      <c r="X108" s="72" t="s">
        <v>130</v>
      </c>
      <c r="Y108"/>
      <c r="Z108"/>
      <c r="AA108" t="s">
        <v>131</v>
      </c>
      <c r="AB108" t="s">
        <v>131</v>
      </c>
      <c r="AC108" t="s">
        <v>131</v>
      </c>
      <c r="AD108" t="s">
        <v>131</v>
      </c>
      <c r="AE108" t="s">
        <v>131</v>
      </c>
      <c r="AF108" t="s">
        <v>131</v>
      </c>
      <c r="AG108" t="s">
        <v>131</v>
      </c>
      <c r="AH108" t="s">
        <v>131</v>
      </c>
      <c r="AI108" t="s">
        <v>131</v>
      </c>
      <c r="AJ108">
        <v>0</v>
      </c>
      <c r="AK108" t="s">
        <v>131</v>
      </c>
      <c r="AL108" t="s">
        <v>132</v>
      </c>
      <c r="AM108" s="16">
        <f>IF(OR(AC108="Yes",K108="Info Request", K108="Side-Project"),0,(NETWORKDAYS(T108,U108,Holidays!A$2:A$13))-1)</f>
        <v>0</v>
      </c>
      <c r="AN108" s="16">
        <f>IF(OR(AC108="Yes",K108="Info Request", K108="Side-Project"),0,(NETWORKDAYS(U108,W108,Holidays!A$2:A$13))-1)</f>
        <v>2</v>
      </c>
      <c r="AO108" s="16">
        <f>IF(OR(V108="none"),0,((NETWORKDAYS(S108,V108,Holidays!A$2:A$13))-1))</f>
        <v>0</v>
      </c>
      <c r="AP108" s="16" t="b">
        <f t="shared" si="6"/>
        <v>1</v>
      </c>
      <c r="AQ108" s="16" t="b">
        <f t="shared" si="7"/>
        <v>1</v>
      </c>
      <c r="AR108" s="60" t="str">
        <f t="shared" si="8"/>
        <v>OK</v>
      </c>
      <c r="AS108" s="60" t="str">
        <f>IF(table_data[[#This Row],[Flagged-Issues]] = 0, "", table_data[[#This Row],[Flagged-Issues]])</f>
        <v/>
      </c>
    </row>
    <row r="109" spans="1:45" x14ac:dyDescent="0.25">
      <c r="A109" t="s">
        <v>104</v>
      </c>
      <c r="B109" t="s">
        <v>121</v>
      </c>
      <c r="C109" t="s">
        <v>122</v>
      </c>
      <c r="D109" s="65">
        <v>202504291516</v>
      </c>
      <c r="E109" t="s">
        <v>220</v>
      </c>
      <c r="F109" t="s">
        <v>134</v>
      </c>
      <c r="G109"/>
      <c r="H109" t="s">
        <v>313</v>
      </c>
      <c r="I109" t="s">
        <v>126</v>
      </c>
      <c r="J109" t="s">
        <v>167</v>
      </c>
      <c r="K109" t="s">
        <v>128</v>
      </c>
      <c r="L109">
        <v>2</v>
      </c>
      <c r="M109" t="s">
        <v>141</v>
      </c>
      <c r="N109">
        <v>1</v>
      </c>
      <c r="O109"/>
      <c r="P109"/>
      <c r="Q109"/>
      <c r="R109"/>
      <c r="S109" s="72">
        <v>45776</v>
      </c>
      <c r="T109" s="72">
        <v>45776</v>
      </c>
      <c r="U109" s="72">
        <v>45776</v>
      </c>
      <c r="V109" s="72" t="s">
        <v>130</v>
      </c>
      <c r="W109" s="72">
        <v>45776</v>
      </c>
      <c r="X109" s="72" t="s">
        <v>130</v>
      </c>
      <c r="Y109"/>
      <c r="Z109"/>
      <c r="AA109" t="s">
        <v>131</v>
      </c>
      <c r="AB109" t="s">
        <v>132</v>
      </c>
      <c r="AC109" t="s">
        <v>131</v>
      </c>
      <c r="AD109" t="s">
        <v>131</v>
      </c>
      <c r="AE109" t="s">
        <v>131</v>
      </c>
      <c r="AF109" t="s">
        <v>131</v>
      </c>
      <c r="AG109" t="s">
        <v>131</v>
      </c>
      <c r="AH109" t="s">
        <v>131</v>
      </c>
      <c r="AI109" t="s">
        <v>131</v>
      </c>
      <c r="AJ109">
        <v>0</v>
      </c>
      <c r="AK109" t="s">
        <v>131</v>
      </c>
      <c r="AL109" t="s">
        <v>132</v>
      </c>
      <c r="AM109" s="16">
        <f>IF(OR(AC109="Yes",K109="Info Request", K109="Side-Project"),0,(NETWORKDAYS(T109,U109,Holidays!A$2:A$13))-1)</f>
        <v>0</v>
      </c>
      <c r="AN109" s="16">
        <f>IF(OR(AC109="Yes",K109="Info Request", K109="Side-Project"),0,(NETWORKDAYS(U109,W109,Holidays!A$2:A$13))-1)</f>
        <v>0</v>
      </c>
      <c r="AO109" s="16">
        <f>IF(OR(V109="none"),0,((NETWORKDAYS(S109,V109,Holidays!A$2:A$13))-1))</f>
        <v>0</v>
      </c>
      <c r="AP109" s="16" t="b">
        <f t="shared" si="6"/>
        <v>1</v>
      </c>
      <c r="AQ109" s="16" t="b">
        <f t="shared" si="7"/>
        <v>1</v>
      </c>
      <c r="AR109" s="60" t="str">
        <f t="shared" si="8"/>
        <v>OK</v>
      </c>
      <c r="AS109" s="60" t="str">
        <f>IF(table_data[[#This Row],[Flagged-Issues]] = 0, "", table_data[[#This Row],[Flagged-Issues]])</f>
        <v/>
      </c>
    </row>
    <row r="110" spans="1:45" x14ac:dyDescent="0.25">
      <c r="A110" t="s">
        <v>104</v>
      </c>
      <c r="B110" t="s">
        <v>121</v>
      </c>
      <c r="C110" t="s">
        <v>122</v>
      </c>
      <c r="D110" s="65">
        <v>202504171354</v>
      </c>
      <c r="E110" t="s">
        <v>314</v>
      </c>
      <c r="F110" t="s">
        <v>134</v>
      </c>
      <c r="G110"/>
      <c r="H110" t="s">
        <v>315</v>
      </c>
      <c r="I110" t="s">
        <v>126</v>
      </c>
      <c r="J110" t="s">
        <v>145</v>
      </c>
      <c r="K110" t="s">
        <v>128</v>
      </c>
      <c r="L110">
        <v>2</v>
      </c>
      <c r="M110" t="s">
        <v>162</v>
      </c>
      <c r="N110">
        <v>4</v>
      </c>
      <c r="O110"/>
      <c r="P110"/>
      <c r="Q110"/>
      <c r="R110"/>
      <c r="S110" s="72">
        <v>45764</v>
      </c>
      <c r="T110" s="72">
        <v>45764</v>
      </c>
      <c r="U110" s="72">
        <v>45764</v>
      </c>
      <c r="V110" s="72" t="s">
        <v>130</v>
      </c>
      <c r="W110" s="72">
        <v>45764</v>
      </c>
      <c r="X110" s="72" t="s">
        <v>130</v>
      </c>
      <c r="Y110"/>
      <c r="Z110"/>
      <c r="AA110" t="s">
        <v>131</v>
      </c>
      <c r="AB110" t="s">
        <v>132</v>
      </c>
      <c r="AC110" t="s">
        <v>131</v>
      </c>
      <c r="AD110" t="s">
        <v>131</v>
      </c>
      <c r="AE110" t="s">
        <v>131</v>
      </c>
      <c r="AF110" t="s">
        <v>131</v>
      </c>
      <c r="AG110" t="s">
        <v>131</v>
      </c>
      <c r="AH110" t="s">
        <v>131</v>
      </c>
      <c r="AI110" t="s">
        <v>131</v>
      </c>
      <c r="AJ110">
        <v>0</v>
      </c>
      <c r="AK110" t="s">
        <v>131</v>
      </c>
      <c r="AL110" t="s">
        <v>132</v>
      </c>
      <c r="AM110" s="16">
        <f>IF(OR(AC110="Yes",K110="Info Request", K110="Side-Project"),0,(NETWORKDAYS(T110,U110,Holidays!A$2:A$13))-1)</f>
        <v>0</v>
      </c>
      <c r="AN110" s="16">
        <f>IF(OR(AC110="Yes",K110="Info Request", K110="Side-Project"),0,(NETWORKDAYS(U110,W110,Holidays!A$2:A$13))-1)</f>
        <v>0</v>
      </c>
      <c r="AO110" s="16">
        <f>IF(OR(V110="none"),0,((NETWORKDAYS(S110,V110,Holidays!A$2:A$13))-1))</f>
        <v>0</v>
      </c>
      <c r="AP110" s="16" t="b">
        <f t="shared" si="6"/>
        <v>1</v>
      </c>
      <c r="AQ110" s="16" t="b">
        <f t="shared" si="7"/>
        <v>1</v>
      </c>
      <c r="AR110" s="60" t="str">
        <f t="shared" si="8"/>
        <v>OK</v>
      </c>
      <c r="AS110" s="60" t="str">
        <f>IF(table_data[[#This Row],[Flagged-Issues]] = 0, "", table_data[[#This Row],[Flagged-Issues]])</f>
        <v/>
      </c>
    </row>
    <row r="111" spans="1:45" x14ac:dyDescent="0.25">
      <c r="A111" t="s">
        <v>104</v>
      </c>
      <c r="B111" t="s">
        <v>121</v>
      </c>
      <c r="C111" t="s">
        <v>122</v>
      </c>
      <c r="D111" s="65">
        <v>202504251109</v>
      </c>
      <c r="E111" t="s">
        <v>314</v>
      </c>
      <c r="F111" t="s">
        <v>134</v>
      </c>
      <c r="G111"/>
      <c r="H111" t="s">
        <v>315</v>
      </c>
      <c r="I111" t="s">
        <v>126</v>
      </c>
      <c r="J111" t="s">
        <v>127</v>
      </c>
      <c r="K111" t="s">
        <v>128</v>
      </c>
      <c r="L111">
        <v>2</v>
      </c>
      <c r="M111" t="s">
        <v>129</v>
      </c>
      <c r="N111">
        <v>4</v>
      </c>
      <c r="O111"/>
      <c r="P111"/>
      <c r="Q111"/>
      <c r="R111"/>
      <c r="S111" s="72">
        <v>45772</v>
      </c>
      <c r="T111" s="72">
        <v>45772</v>
      </c>
      <c r="U111" s="72">
        <v>45772</v>
      </c>
      <c r="V111" s="72" t="s">
        <v>130</v>
      </c>
      <c r="W111" s="72">
        <v>45772</v>
      </c>
      <c r="X111" s="72" t="s">
        <v>130</v>
      </c>
      <c r="Y111"/>
      <c r="Z111"/>
      <c r="AA111" t="s">
        <v>131</v>
      </c>
      <c r="AB111" t="s">
        <v>132</v>
      </c>
      <c r="AC111" t="s">
        <v>131</v>
      </c>
      <c r="AD111" t="s">
        <v>131</v>
      </c>
      <c r="AE111" t="s">
        <v>131</v>
      </c>
      <c r="AF111" t="s">
        <v>131</v>
      </c>
      <c r="AG111" t="s">
        <v>131</v>
      </c>
      <c r="AH111" t="s">
        <v>131</v>
      </c>
      <c r="AI111" t="s">
        <v>131</v>
      </c>
      <c r="AJ111">
        <v>0</v>
      </c>
      <c r="AK111" t="s">
        <v>131</v>
      </c>
      <c r="AL111" t="s">
        <v>132</v>
      </c>
      <c r="AM111" s="16">
        <f>IF(OR(AC111="Yes",K111="Info Request", K111="Side-Project"),0,(NETWORKDAYS(T111,U111,Holidays!A$2:A$13))-1)</f>
        <v>0</v>
      </c>
      <c r="AN111" s="16">
        <f>IF(OR(AC111="Yes",K111="Info Request", K111="Side-Project"),0,(NETWORKDAYS(U111,W111,Holidays!A$2:A$13))-1)</f>
        <v>0</v>
      </c>
      <c r="AO111" s="16">
        <f>IF(OR(V111="none"),0,((NETWORKDAYS(S111,V111,Holidays!A$2:A$13))-1))</f>
        <v>0</v>
      </c>
      <c r="AP111" s="16" t="b">
        <f t="shared" si="6"/>
        <v>1</v>
      </c>
      <c r="AQ111" s="16" t="b">
        <f t="shared" si="7"/>
        <v>1</v>
      </c>
      <c r="AR111" s="60" t="str">
        <f t="shared" si="8"/>
        <v>OK</v>
      </c>
      <c r="AS111" s="60" t="str">
        <f>IF(table_data[[#This Row],[Flagged-Issues]] = 0, "", table_data[[#This Row],[Flagged-Issues]])</f>
        <v/>
      </c>
    </row>
    <row r="112" spans="1:45" x14ac:dyDescent="0.25">
      <c r="A112" t="s">
        <v>104</v>
      </c>
      <c r="B112" t="s">
        <v>121</v>
      </c>
      <c r="C112" t="s">
        <v>122</v>
      </c>
      <c r="D112" s="65">
        <v>202504041126</v>
      </c>
      <c r="E112" t="s">
        <v>314</v>
      </c>
      <c r="F112" t="s">
        <v>134</v>
      </c>
      <c r="G112"/>
      <c r="H112" t="s">
        <v>315</v>
      </c>
      <c r="I112" t="s">
        <v>126</v>
      </c>
      <c r="J112" t="s">
        <v>157</v>
      </c>
      <c r="K112" t="s">
        <v>128</v>
      </c>
      <c r="L112">
        <v>2</v>
      </c>
      <c r="M112" t="s">
        <v>141</v>
      </c>
      <c r="N112">
        <v>4</v>
      </c>
      <c r="O112"/>
      <c r="P112"/>
      <c r="Q112"/>
      <c r="R112"/>
      <c r="S112" s="72">
        <v>45751</v>
      </c>
      <c r="T112" s="72">
        <v>45751</v>
      </c>
      <c r="U112" s="72">
        <v>45751</v>
      </c>
      <c r="V112" s="72" t="s">
        <v>130</v>
      </c>
      <c r="W112" s="72">
        <v>45751</v>
      </c>
      <c r="X112" s="72" t="s">
        <v>130</v>
      </c>
      <c r="Y112"/>
      <c r="Z112"/>
      <c r="AA112" t="s">
        <v>131</v>
      </c>
      <c r="AB112" t="s">
        <v>132</v>
      </c>
      <c r="AC112" t="s">
        <v>131</v>
      </c>
      <c r="AD112" t="s">
        <v>131</v>
      </c>
      <c r="AE112" t="s">
        <v>131</v>
      </c>
      <c r="AF112" t="s">
        <v>131</v>
      </c>
      <c r="AG112" t="s">
        <v>131</v>
      </c>
      <c r="AH112" t="s">
        <v>131</v>
      </c>
      <c r="AI112" t="s">
        <v>131</v>
      </c>
      <c r="AJ112">
        <v>0</v>
      </c>
      <c r="AK112" t="s">
        <v>131</v>
      </c>
      <c r="AL112" t="s">
        <v>132</v>
      </c>
      <c r="AM112" s="16">
        <f>IF(OR(AC112="Yes",K112="Info Request", K112="Side-Project"),0,(NETWORKDAYS(T112,U112,Holidays!A$2:A$13))-1)</f>
        <v>0</v>
      </c>
      <c r="AN112" s="16">
        <f>IF(OR(AC112="Yes",K112="Info Request", K112="Side-Project"),0,(NETWORKDAYS(U112,W112,Holidays!A$2:A$13))-1)</f>
        <v>0</v>
      </c>
      <c r="AO112" s="16">
        <f>IF(OR(V112="none"),0,((NETWORKDAYS(S112,V112,Holidays!A$2:A$13))-1))</f>
        <v>0</v>
      </c>
      <c r="AP112" s="16" t="b">
        <f t="shared" si="6"/>
        <v>1</v>
      </c>
      <c r="AQ112" s="16" t="b">
        <f t="shared" si="7"/>
        <v>1</v>
      </c>
      <c r="AR112" s="60" t="str">
        <f t="shared" si="8"/>
        <v>OK</v>
      </c>
      <c r="AS112" s="60" t="str">
        <f>IF(table_data[[#This Row],[Flagged-Issues]] = 0, "", table_data[[#This Row],[Flagged-Issues]])</f>
        <v/>
      </c>
    </row>
    <row r="113" spans="1:45" x14ac:dyDescent="0.25">
      <c r="A113" t="s">
        <v>104</v>
      </c>
      <c r="B113" t="s">
        <v>121</v>
      </c>
      <c r="C113" t="s">
        <v>122</v>
      </c>
      <c r="D113" s="65">
        <v>202504111124</v>
      </c>
      <c r="E113" t="s">
        <v>314</v>
      </c>
      <c r="F113" t="s">
        <v>134</v>
      </c>
      <c r="G113"/>
      <c r="H113" t="s">
        <v>315</v>
      </c>
      <c r="I113" t="s">
        <v>126</v>
      </c>
      <c r="J113" t="s">
        <v>136</v>
      </c>
      <c r="K113" t="s">
        <v>128</v>
      </c>
      <c r="L113">
        <v>2</v>
      </c>
      <c r="M113" t="s">
        <v>129</v>
      </c>
      <c r="N113">
        <v>4</v>
      </c>
      <c r="O113"/>
      <c r="P113"/>
      <c r="Q113"/>
      <c r="R113"/>
      <c r="S113" s="72">
        <v>45758</v>
      </c>
      <c r="T113" s="72">
        <v>45758</v>
      </c>
      <c r="U113" s="72">
        <v>45758</v>
      </c>
      <c r="V113" s="72" t="s">
        <v>130</v>
      </c>
      <c r="W113" s="72">
        <v>45758</v>
      </c>
      <c r="X113" s="72" t="s">
        <v>130</v>
      </c>
      <c r="Y113"/>
      <c r="Z113"/>
      <c r="AA113" t="s">
        <v>131</v>
      </c>
      <c r="AB113" t="s">
        <v>132</v>
      </c>
      <c r="AC113" t="s">
        <v>131</v>
      </c>
      <c r="AD113" t="s">
        <v>131</v>
      </c>
      <c r="AE113" t="s">
        <v>131</v>
      </c>
      <c r="AF113" t="s">
        <v>131</v>
      </c>
      <c r="AG113" t="s">
        <v>131</v>
      </c>
      <c r="AH113" t="s">
        <v>131</v>
      </c>
      <c r="AI113" t="s">
        <v>131</v>
      </c>
      <c r="AJ113">
        <v>0</v>
      </c>
      <c r="AK113" t="s">
        <v>131</v>
      </c>
      <c r="AL113" t="s">
        <v>132</v>
      </c>
      <c r="AM113" s="16">
        <f>IF(OR(AC113="Yes",K113="Info Request", K113="Side-Project"),0,(NETWORKDAYS(T113,U113,Holidays!A$2:A$13))-1)</f>
        <v>0</v>
      </c>
      <c r="AN113" s="16">
        <f>IF(OR(AC113="Yes",K113="Info Request", K113="Side-Project"),0,(NETWORKDAYS(U113,W113,Holidays!A$2:A$13))-1)</f>
        <v>0</v>
      </c>
      <c r="AO113" s="16">
        <f>IF(OR(V113="none"),0,((NETWORKDAYS(S113,V113,Holidays!A$2:A$13))-1))</f>
        <v>0</v>
      </c>
      <c r="AP113" s="16" t="b">
        <f t="shared" si="6"/>
        <v>1</v>
      </c>
      <c r="AQ113" s="16" t="b">
        <f t="shared" si="7"/>
        <v>1</v>
      </c>
      <c r="AR113" s="60" t="str">
        <f t="shared" si="8"/>
        <v>OK</v>
      </c>
      <c r="AS113" s="60" t="str">
        <f>IF(table_data[[#This Row],[Flagged-Issues]] = 0, "", table_data[[#This Row],[Flagged-Issues]])</f>
        <v/>
      </c>
    </row>
    <row r="114" spans="1:45" x14ac:dyDescent="0.25">
      <c r="A114" t="s">
        <v>104</v>
      </c>
      <c r="B114" t="s">
        <v>121</v>
      </c>
      <c r="C114" t="s">
        <v>122</v>
      </c>
      <c r="D114" s="65">
        <v>202504010813</v>
      </c>
      <c r="E114" t="s">
        <v>316</v>
      </c>
      <c r="F114" t="s">
        <v>134</v>
      </c>
      <c r="G114"/>
      <c r="H114" t="s">
        <v>317</v>
      </c>
      <c r="I114" t="s">
        <v>126</v>
      </c>
      <c r="J114" t="s">
        <v>167</v>
      </c>
      <c r="K114" t="s">
        <v>128</v>
      </c>
      <c r="L114">
        <v>2</v>
      </c>
      <c r="M114" t="s">
        <v>318</v>
      </c>
      <c r="N114">
        <v>4</v>
      </c>
      <c r="O114"/>
      <c r="P114"/>
      <c r="Q114"/>
      <c r="R114"/>
      <c r="S114" s="72">
        <v>45748</v>
      </c>
      <c r="T114" s="72">
        <v>45748</v>
      </c>
      <c r="U114" s="72">
        <v>45748</v>
      </c>
      <c r="V114" s="72" t="s">
        <v>130</v>
      </c>
      <c r="W114" s="72">
        <v>45772</v>
      </c>
      <c r="X114" s="72" t="s">
        <v>130</v>
      </c>
      <c r="Y114"/>
      <c r="Z114"/>
      <c r="AA114" t="s">
        <v>131</v>
      </c>
      <c r="AB114" t="s">
        <v>132</v>
      </c>
      <c r="AC114" t="s">
        <v>132</v>
      </c>
      <c r="AD114" t="s">
        <v>131</v>
      </c>
      <c r="AE114" t="s">
        <v>131</v>
      </c>
      <c r="AF114" t="s">
        <v>131</v>
      </c>
      <c r="AG114" t="s">
        <v>131</v>
      </c>
      <c r="AH114" t="s">
        <v>131</v>
      </c>
      <c r="AI114" t="s">
        <v>131</v>
      </c>
      <c r="AJ114">
        <v>0</v>
      </c>
      <c r="AK114" t="s">
        <v>131</v>
      </c>
      <c r="AL114" t="s">
        <v>132</v>
      </c>
      <c r="AM114" s="16">
        <f>IF(OR(AC114="Yes",K114="Info Request", K114="Side-Project"),0,(NETWORKDAYS(T114,U114,Holidays!A$2:A$13))-1)</f>
        <v>0</v>
      </c>
      <c r="AN114" s="16">
        <f>IF(OR(AC114="Yes",K114="Info Request", K114="Side-Project"),0,(NETWORKDAYS(U114,W114,Holidays!A$2:A$13))-1)</f>
        <v>0</v>
      </c>
      <c r="AO114" s="16">
        <f>IF(OR(V114="none"),0,((NETWORKDAYS(S114,V114,Holidays!A$2:A$13))-1))</f>
        <v>0</v>
      </c>
      <c r="AP114" s="16" t="b">
        <f t="shared" si="6"/>
        <v>1</v>
      </c>
      <c r="AQ114" s="16" t="b">
        <f t="shared" si="7"/>
        <v>1</v>
      </c>
      <c r="AR114" s="60" t="str">
        <f t="shared" si="8"/>
        <v>OK</v>
      </c>
      <c r="AS114" s="60" t="str">
        <f>IF(table_data[[#This Row],[Flagged-Issues]] = 0, "", table_data[[#This Row],[Flagged-Issues]])</f>
        <v/>
      </c>
    </row>
    <row r="115" spans="1:45" x14ac:dyDescent="0.25">
      <c r="A115" t="s">
        <v>104</v>
      </c>
      <c r="B115" t="s">
        <v>121</v>
      </c>
      <c r="C115" t="s">
        <v>122</v>
      </c>
      <c r="D115" s="65">
        <v>202504111102</v>
      </c>
      <c r="E115" t="s">
        <v>220</v>
      </c>
      <c r="F115" t="s">
        <v>134</v>
      </c>
      <c r="G115"/>
      <c r="H115" t="s">
        <v>319</v>
      </c>
      <c r="I115" t="s">
        <v>126</v>
      </c>
      <c r="J115" t="s">
        <v>136</v>
      </c>
      <c r="K115" t="s">
        <v>128</v>
      </c>
      <c r="L115">
        <v>2</v>
      </c>
      <c r="M115" t="s">
        <v>137</v>
      </c>
      <c r="N115">
        <v>2</v>
      </c>
      <c r="O115"/>
      <c r="P115"/>
      <c r="Q115"/>
      <c r="R115"/>
      <c r="S115" s="72">
        <v>45758</v>
      </c>
      <c r="T115" s="72">
        <v>45758</v>
      </c>
      <c r="U115" s="72">
        <v>45758</v>
      </c>
      <c r="V115" s="72" t="s">
        <v>130</v>
      </c>
      <c r="W115" s="72">
        <v>45761</v>
      </c>
      <c r="X115" s="72" t="s">
        <v>130</v>
      </c>
      <c r="Y115"/>
      <c r="Z115"/>
      <c r="AA115" t="s">
        <v>131</v>
      </c>
      <c r="AB115" t="s">
        <v>132</v>
      </c>
      <c r="AC115" t="s">
        <v>131</v>
      </c>
      <c r="AD115" t="s">
        <v>131</v>
      </c>
      <c r="AE115" t="s">
        <v>131</v>
      </c>
      <c r="AF115" t="s">
        <v>131</v>
      </c>
      <c r="AG115" t="s">
        <v>131</v>
      </c>
      <c r="AH115" t="s">
        <v>131</v>
      </c>
      <c r="AI115" t="s">
        <v>131</v>
      </c>
      <c r="AJ115">
        <v>0</v>
      </c>
      <c r="AK115" t="s">
        <v>131</v>
      </c>
      <c r="AL115" t="s">
        <v>132</v>
      </c>
      <c r="AM115" s="16">
        <f>IF(OR(AC115="Yes",K115="Info Request", K115="Side-Project"),0,(NETWORKDAYS(T115,U115,Holidays!A$2:A$13))-1)</f>
        <v>0</v>
      </c>
      <c r="AN115" s="16">
        <f>IF(OR(AC115="Yes",K115="Info Request", K115="Side-Project"),0,(NETWORKDAYS(U115,W115,Holidays!A$2:A$13))-1)</f>
        <v>1</v>
      </c>
      <c r="AO115" s="16">
        <f>IF(OR(V115="none"),0,((NETWORKDAYS(S115,V115,Holidays!A$2:A$13))-1))</f>
        <v>0</v>
      </c>
      <c r="AP115" s="16" t="b">
        <f t="shared" si="6"/>
        <v>1</v>
      </c>
      <c r="AQ115" s="16" t="b">
        <f t="shared" si="7"/>
        <v>1</v>
      </c>
      <c r="AR115" s="60" t="str">
        <f t="shared" si="8"/>
        <v>OK</v>
      </c>
      <c r="AS115" s="60" t="str">
        <f>IF(table_data[[#This Row],[Flagged-Issues]] = 0, "", table_data[[#This Row],[Flagged-Issues]])</f>
        <v/>
      </c>
    </row>
    <row r="116" spans="1:45" x14ac:dyDescent="0.25">
      <c r="A116" t="s">
        <v>104</v>
      </c>
      <c r="B116" t="s">
        <v>121</v>
      </c>
      <c r="C116" t="s">
        <v>122</v>
      </c>
      <c r="D116" s="65">
        <v>202504251303</v>
      </c>
      <c r="E116" t="s">
        <v>320</v>
      </c>
      <c r="F116" t="s">
        <v>134</v>
      </c>
      <c r="G116"/>
      <c r="H116" t="s">
        <v>321</v>
      </c>
      <c r="I116" t="s">
        <v>126</v>
      </c>
      <c r="J116" t="s">
        <v>157</v>
      </c>
      <c r="K116" t="s">
        <v>255</v>
      </c>
      <c r="L116">
        <v>2</v>
      </c>
      <c r="M116" t="s">
        <v>187</v>
      </c>
      <c r="N116">
        <v>2</v>
      </c>
      <c r="O116"/>
      <c r="P116"/>
      <c r="Q116"/>
      <c r="R116"/>
      <c r="S116" s="72">
        <v>45772</v>
      </c>
      <c r="T116" s="72">
        <v>45775</v>
      </c>
      <c r="U116" s="72">
        <v>45775</v>
      </c>
      <c r="V116" s="72" t="s">
        <v>130</v>
      </c>
      <c r="W116" s="72">
        <v>45776</v>
      </c>
      <c r="X116" s="72" t="s">
        <v>130</v>
      </c>
      <c r="Y116" t="s">
        <v>288</v>
      </c>
      <c r="Z116" t="s">
        <v>147</v>
      </c>
      <c r="AA116" t="s">
        <v>131</v>
      </c>
      <c r="AB116" t="s">
        <v>131</v>
      </c>
      <c r="AC116" t="s">
        <v>131</v>
      </c>
      <c r="AD116" t="s">
        <v>131</v>
      </c>
      <c r="AE116" t="s">
        <v>131</v>
      </c>
      <c r="AF116" t="s">
        <v>131</v>
      </c>
      <c r="AG116" t="s">
        <v>131</v>
      </c>
      <c r="AH116" t="s">
        <v>131</v>
      </c>
      <c r="AI116" t="s">
        <v>131</v>
      </c>
      <c r="AJ116">
        <v>0</v>
      </c>
      <c r="AK116" t="s">
        <v>131</v>
      </c>
      <c r="AL116" t="s">
        <v>148</v>
      </c>
      <c r="AM116" s="16">
        <f>IF(OR(AC116="Yes",K116="Info Request", K116="Side-Project"),0,(NETWORKDAYS(T116,U116,Holidays!A$2:A$13))-1)</f>
        <v>0</v>
      </c>
      <c r="AN116" s="16">
        <f>IF(OR(AC116="Yes",K116="Info Request", K116="Side-Project"),0,(NETWORKDAYS(U116,W116,Holidays!A$2:A$13))-1)</f>
        <v>1</v>
      </c>
      <c r="AO116" s="16">
        <f>IF(OR(V116="none"),0,((NETWORKDAYS(S116,V116,Holidays!A$2:A$13))-1))</f>
        <v>0</v>
      </c>
      <c r="AP116" s="16" t="b">
        <f t="shared" si="6"/>
        <v>1</v>
      </c>
      <c r="AQ116" s="16" t="b">
        <f t="shared" si="7"/>
        <v>1</v>
      </c>
      <c r="AR116" s="60" t="str">
        <f t="shared" si="8"/>
        <v>OK</v>
      </c>
      <c r="AS116" s="60" t="str">
        <f>IF(table_data[[#This Row],[Flagged-Issues]] = 0, "", table_data[[#This Row],[Flagged-Issues]])</f>
        <v/>
      </c>
    </row>
    <row r="117" spans="1:45" x14ac:dyDescent="0.25">
      <c r="A117" t="s">
        <v>29</v>
      </c>
      <c r="B117" t="s">
        <v>121</v>
      </c>
      <c r="C117" t="s">
        <v>122</v>
      </c>
      <c r="D117" s="65">
        <v>202504030856</v>
      </c>
      <c r="E117" t="s">
        <v>180</v>
      </c>
      <c r="F117" t="s">
        <v>173</v>
      </c>
      <c r="G117"/>
      <c r="H117" t="s">
        <v>322</v>
      </c>
      <c r="I117" t="s">
        <v>126</v>
      </c>
      <c r="J117" t="s">
        <v>249</v>
      </c>
      <c r="K117" t="s">
        <v>128</v>
      </c>
      <c r="L117">
        <v>2</v>
      </c>
      <c r="M117" t="s">
        <v>137</v>
      </c>
      <c r="N117">
        <v>1</v>
      </c>
      <c r="O117"/>
      <c r="P117"/>
      <c r="Q117"/>
      <c r="R117"/>
      <c r="S117" s="72">
        <v>45750</v>
      </c>
      <c r="T117" s="72">
        <v>45749</v>
      </c>
      <c r="U117" s="72">
        <v>45749</v>
      </c>
      <c r="V117" s="72" t="s">
        <v>130</v>
      </c>
      <c r="W117" s="72">
        <v>45750</v>
      </c>
      <c r="X117" s="72" t="s">
        <v>130</v>
      </c>
      <c r="Y117"/>
      <c r="Z117"/>
      <c r="AA117" t="s">
        <v>131</v>
      </c>
      <c r="AB117" t="s">
        <v>132</v>
      </c>
      <c r="AC117" t="s">
        <v>131</v>
      </c>
      <c r="AD117" t="s">
        <v>131</v>
      </c>
      <c r="AE117" t="s">
        <v>131</v>
      </c>
      <c r="AF117" t="s">
        <v>131</v>
      </c>
      <c r="AG117" t="s">
        <v>131</v>
      </c>
      <c r="AH117" t="s">
        <v>131</v>
      </c>
      <c r="AI117" t="s">
        <v>131</v>
      </c>
      <c r="AJ117">
        <v>0</v>
      </c>
      <c r="AK117" t="s">
        <v>131</v>
      </c>
      <c r="AL117" t="s">
        <v>132</v>
      </c>
      <c r="AM117" s="16">
        <f>IF(OR(AC117="Yes",K117="Info Request", K117="Side-Project"),0,(NETWORKDAYS(T117,U117,Holidays!A$2:A$13))-1)</f>
        <v>0</v>
      </c>
      <c r="AN117" s="16">
        <f>IF(OR(AC117="Yes",K117="Info Request", K117="Side-Project"),0,(NETWORKDAYS(U117,W117,Holidays!A$2:A$13))-1)</f>
        <v>1</v>
      </c>
      <c r="AO117" s="16">
        <f>IF(OR(V117="none"),0,((NETWORKDAYS(S117,V117,Holidays!A$2:A$13))-1))</f>
        <v>0</v>
      </c>
      <c r="AP117" s="16" t="b">
        <f t="shared" si="6"/>
        <v>1</v>
      </c>
      <c r="AQ117" s="16" t="b">
        <f t="shared" si="7"/>
        <v>1</v>
      </c>
      <c r="AR117" s="60" t="str">
        <f t="shared" si="8"/>
        <v>OK</v>
      </c>
      <c r="AS117" s="60" t="str">
        <f>IF(table_data[[#This Row],[Flagged-Issues]] = 0, "", table_data[[#This Row],[Flagged-Issues]])</f>
        <v/>
      </c>
    </row>
    <row r="118" spans="1:45" x14ac:dyDescent="0.25">
      <c r="A118" t="s">
        <v>29</v>
      </c>
      <c r="B118" t="s">
        <v>121</v>
      </c>
      <c r="C118" t="s">
        <v>122</v>
      </c>
      <c r="D118" s="65">
        <v>202504021407</v>
      </c>
      <c r="E118" t="s">
        <v>323</v>
      </c>
      <c r="F118" t="s">
        <v>173</v>
      </c>
      <c r="G118"/>
      <c r="H118" t="s">
        <v>324</v>
      </c>
      <c r="I118" t="s">
        <v>126</v>
      </c>
      <c r="J118" t="s">
        <v>136</v>
      </c>
      <c r="K118" t="s">
        <v>128</v>
      </c>
      <c r="L118">
        <v>2</v>
      </c>
      <c r="M118" t="s">
        <v>162</v>
      </c>
      <c r="N118">
        <v>2</v>
      </c>
      <c r="O118"/>
      <c r="P118"/>
      <c r="Q118"/>
      <c r="R118"/>
      <c r="S118" s="72">
        <v>45749</v>
      </c>
      <c r="T118" s="72">
        <v>45749</v>
      </c>
      <c r="U118" s="72">
        <v>45749</v>
      </c>
      <c r="V118" s="72" t="s">
        <v>130</v>
      </c>
      <c r="W118" s="72">
        <v>45749</v>
      </c>
      <c r="X118" s="72" t="s">
        <v>130</v>
      </c>
      <c r="Y118"/>
      <c r="Z118"/>
      <c r="AA118" t="s">
        <v>131</v>
      </c>
      <c r="AB118" t="s">
        <v>132</v>
      </c>
      <c r="AC118" t="s">
        <v>131</v>
      </c>
      <c r="AD118" t="s">
        <v>131</v>
      </c>
      <c r="AE118" t="s">
        <v>131</v>
      </c>
      <c r="AF118" t="s">
        <v>131</v>
      </c>
      <c r="AG118" t="s">
        <v>131</v>
      </c>
      <c r="AH118" t="s">
        <v>131</v>
      </c>
      <c r="AI118" t="s">
        <v>132</v>
      </c>
      <c r="AJ118">
        <v>1</v>
      </c>
      <c r="AK118" t="s">
        <v>131</v>
      </c>
      <c r="AL118" t="s">
        <v>132</v>
      </c>
      <c r="AM118" s="16">
        <f>IF(OR(AC118="Yes",K118="Info Request", K118="Side-Project"),0,(NETWORKDAYS(T118,U118,Holidays!A$2:A$13))-1)</f>
        <v>0</v>
      </c>
      <c r="AN118" s="16">
        <f>IF(OR(AC118="Yes",K118="Info Request", K118="Side-Project"),0,(NETWORKDAYS(U118,W118,Holidays!A$2:A$13))-1)</f>
        <v>0</v>
      </c>
      <c r="AO118" s="16">
        <f>IF(OR(V118="none"),0,((NETWORKDAYS(S118,V118,Holidays!A$2:A$13))-1))</f>
        <v>0</v>
      </c>
      <c r="AP118" s="16" t="b">
        <f t="shared" si="6"/>
        <v>1</v>
      </c>
      <c r="AQ118" s="16" t="b">
        <f t="shared" si="7"/>
        <v>1</v>
      </c>
      <c r="AR118" s="60" t="str">
        <f t="shared" si="8"/>
        <v>OK</v>
      </c>
      <c r="AS118" s="60">
        <f>IF(table_data[[#This Row],[Flagged-Issues]] = 0, "", table_data[[#This Row],[Flagged-Issues]])</f>
        <v>1</v>
      </c>
    </row>
    <row r="119" spans="1:45" x14ac:dyDescent="0.25">
      <c r="A119" t="s">
        <v>29</v>
      </c>
      <c r="B119" t="s">
        <v>121</v>
      </c>
      <c r="C119" t="s">
        <v>122</v>
      </c>
      <c r="D119" s="65">
        <v>202504101346</v>
      </c>
      <c r="E119" t="s">
        <v>323</v>
      </c>
      <c r="F119" t="s">
        <v>173</v>
      </c>
      <c r="G119"/>
      <c r="H119" t="s">
        <v>325</v>
      </c>
      <c r="I119" t="s">
        <v>126</v>
      </c>
      <c r="J119" t="s">
        <v>136</v>
      </c>
      <c r="K119" t="s">
        <v>128</v>
      </c>
      <c r="L119">
        <v>21</v>
      </c>
      <c r="M119" t="s">
        <v>137</v>
      </c>
      <c r="N119">
        <v>1</v>
      </c>
      <c r="O119"/>
      <c r="P119"/>
      <c r="Q119"/>
      <c r="R119"/>
      <c r="S119" s="72">
        <v>45757</v>
      </c>
      <c r="T119" s="72">
        <v>45757</v>
      </c>
      <c r="U119" s="72">
        <v>45757</v>
      </c>
      <c r="V119" s="72" t="s">
        <v>130</v>
      </c>
      <c r="W119" s="72">
        <v>45757</v>
      </c>
      <c r="X119" s="72" t="s">
        <v>130</v>
      </c>
      <c r="Y119"/>
      <c r="Z119"/>
      <c r="AA119" t="s">
        <v>131</v>
      </c>
      <c r="AB119" t="s">
        <v>132</v>
      </c>
      <c r="AC119" t="s">
        <v>131</v>
      </c>
      <c r="AD119" t="s">
        <v>131</v>
      </c>
      <c r="AE119" t="s">
        <v>131</v>
      </c>
      <c r="AF119" t="s">
        <v>131</v>
      </c>
      <c r="AG119" t="s">
        <v>131</v>
      </c>
      <c r="AH119" t="s">
        <v>131</v>
      </c>
      <c r="AI119" t="s">
        <v>131</v>
      </c>
      <c r="AJ119">
        <v>0</v>
      </c>
      <c r="AK119" t="s">
        <v>131</v>
      </c>
      <c r="AL119" t="s">
        <v>132</v>
      </c>
      <c r="AM119" s="16">
        <f>IF(OR(AC119="Yes",K119="Info Request", K119="Side-Project"),0,(NETWORKDAYS(T119,U119,Holidays!A$2:A$13))-1)</f>
        <v>0</v>
      </c>
      <c r="AN119" s="16">
        <f>IF(OR(AC119="Yes",K119="Info Request", K119="Side-Project"),0,(NETWORKDAYS(U119,W119,Holidays!A$2:A$13))-1)</f>
        <v>0</v>
      </c>
      <c r="AO119" s="16">
        <f>IF(OR(V119="none"),0,((NETWORKDAYS(S119,V119,Holidays!A$2:A$13))-1))</f>
        <v>0</v>
      </c>
      <c r="AP119" s="16" t="b">
        <f t="shared" si="6"/>
        <v>1</v>
      </c>
      <c r="AQ119" s="16" t="b">
        <f t="shared" si="7"/>
        <v>1</v>
      </c>
      <c r="AR119" s="60" t="str">
        <f t="shared" si="8"/>
        <v>OK</v>
      </c>
      <c r="AS119" s="60" t="str">
        <f>IF(table_data[[#This Row],[Flagged-Issues]] = 0, "", table_data[[#This Row],[Flagged-Issues]])</f>
        <v/>
      </c>
    </row>
    <row r="120" spans="1:45" x14ac:dyDescent="0.25">
      <c r="A120" t="s">
        <v>29</v>
      </c>
      <c r="B120" t="s">
        <v>121</v>
      </c>
      <c r="C120" t="s">
        <v>122</v>
      </c>
      <c r="D120" s="65">
        <v>202504030855</v>
      </c>
      <c r="E120" t="s">
        <v>180</v>
      </c>
      <c r="F120" t="s">
        <v>173</v>
      </c>
      <c r="G120"/>
      <c r="H120" t="s">
        <v>326</v>
      </c>
      <c r="I120" t="s">
        <v>126</v>
      </c>
      <c r="J120" t="s">
        <v>249</v>
      </c>
      <c r="K120" t="s">
        <v>128</v>
      </c>
      <c r="L120">
        <v>2</v>
      </c>
      <c r="M120" t="s">
        <v>137</v>
      </c>
      <c r="N120">
        <v>2</v>
      </c>
      <c r="O120"/>
      <c r="P120"/>
      <c r="Q120"/>
      <c r="R120"/>
      <c r="S120" s="72">
        <v>45750</v>
      </c>
      <c r="T120" s="72">
        <v>45749</v>
      </c>
      <c r="U120" s="72">
        <v>45749</v>
      </c>
      <c r="V120" s="72" t="s">
        <v>130</v>
      </c>
      <c r="W120" s="72">
        <v>45750</v>
      </c>
      <c r="X120" s="72" t="s">
        <v>130</v>
      </c>
      <c r="Y120"/>
      <c r="Z120"/>
      <c r="AA120" t="s">
        <v>131</v>
      </c>
      <c r="AB120" t="s">
        <v>132</v>
      </c>
      <c r="AC120" t="s">
        <v>131</v>
      </c>
      <c r="AD120" t="s">
        <v>131</v>
      </c>
      <c r="AE120" t="s">
        <v>131</v>
      </c>
      <c r="AF120" t="s">
        <v>131</v>
      </c>
      <c r="AG120" t="s">
        <v>131</v>
      </c>
      <c r="AH120" t="s">
        <v>131</v>
      </c>
      <c r="AI120" t="s">
        <v>131</v>
      </c>
      <c r="AJ120">
        <v>0</v>
      </c>
      <c r="AK120" t="s">
        <v>131</v>
      </c>
      <c r="AL120" t="s">
        <v>132</v>
      </c>
      <c r="AM120" s="16">
        <f>IF(OR(AC120="Yes",K120="Info Request", K120="Side-Project"),0,(NETWORKDAYS(T120,U120,Holidays!A$2:A$13))-1)</f>
        <v>0</v>
      </c>
      <c r="AN120" s="16">
        <f>IF(OR(AC120="Yes",K120="Info Request", K120="Side-Project"),0,(NETWORKDAYS(U120,W120,Holidays!A$2:A$13))-1)</f>
        <v>1</v>
      </c>
      <c r="AO120" s="16">
        <f>IF(OR(V120="none"),0,((NETWORKDAYS(S120,V120,Holidays!A$2:A$13))-1))</f>
        <v>0</v>
      </c>
      <c r="AP120" s="16" t="b">
        <f t="shared" si="6"/>
        <v>1</v>
      </c>
      <c r="AQ120" s="16" t="b">
        <f t="shared" si="7"/>
        <v>1</v>
      </c>
      <c r="AR120" s="60" t="str">
        <f t="shared" si="8"/>
        <v>OK</v>
      </c>
      <c r="AS120" s="60" t="str">
        <f>IF(table_data[[#This Row],[Flagged-Issues]] = 0, "", table_data[[#This Row],[Flagged-Issues]])</f>
        <v/>
      </c>
    </row>
    <row r="121" spans="1:45" x14ac:dyDescent="0.25">
      <c r="A121" t="s">
        <v>29</v>
      </c>
      <c r="B121" t="s">
        <v>121</v>
      </c>
      <c r="C121" t="s">
        <v>122</v>
      </c>
      <c r="D121" s="65">
        <v>202504071523</v>
      </c>
      <c r="E121" t="s">
        <v>327</v>
      </c>
      <c r="F121" t="s">
        <v>173</v>
      </c>
      <c r="G121"/>
      <c r="H121" t="s">
        <v>328</v>
      </c>
      <c r="I121" t="s">
        <v>126</v>
      </c>
      <c r="J121" t="s">
        <v>157</v>
      </c>
      <c r="K121" t="s">
        <v>128</v>
      </c>
      <c r="L121">
        <v>2</v>
      </c>
      <c r="M121" t="s">
        <v>141</v>
      </c>
      <c r="N121">
        <v>2</v>
      </c>
      <c r="O121"/>
      <c r="P121"/>
      <c r="Q121">
        <v>1</v>
      </c>
      <c r="R121"/>
      <c r="S121" s="72">
        <v>45754</v>
      </c>
      <c r="T121" s="72">
        <v>45755</v>
      </c>
      <c r="U121" s="72">
        <v>45755</v>
      </c>
      <c r="V121" s="72" t="s">
        <v>130</v>
      </c>
      <c r="W121" s="72">
        <v>45755</v>
      </c>
      <c r="X121" s="72" t="s">
        <v>130</v>
      </c>
      <c r="Y121"/>
      <c r="Z121"/>
      <c r="AA121" t="s">
        <v>131</v>
      </c>
      <c r="AB121" t="s">
        <v>132</v>
      </c>
      <c r="AC121" t="s">
        <v>131</v>
      </c>
      <c r="AD121" t="s">
        <v>131</v>
      </c>
      <c r="AE121" t="s">
        <v>131</v>
      </c>
      <c r="AF121" t="s">
        <v>131</v>
      </c>
      <c r="AG121" t="s">
        <v>131</v>
      </c>
      <c r="AH121" t="s">
        <v>131</v>
      </c>
      <c r="AI121" t="s">
        <v>131</v>
      </c>
      <c r="AJ121">
        <v>0</v>
      </c>
      <c r="AK121" t="s">
        <v>131</v>
      </c>
      <c r="AL121" t="s">
        <v>132</v>
      </c>
      <c r="AM121" s="16">
        <f>IF(OR(AC121="Yes",K121="Info Request", K121="Side-Project"),0,(NETWORKDAYS(T121,U121,Holidays!A$2:A$13))-1)</f>
        <v>0</v>
      </c>
      <c r="AN121" s="16">
        <f>IF(OR(AC121="Yes",K121="Info Request", K121="Side-Project"),0,(NETWORKDAYS(U121,W121,Holidays!A$2:A$13))-1)</f>
        <v>0</v>
      </c>
      <c r="AO121" s="16">
        <f>IF(OR(V121="none"),0,((NETWORKDAYS(S121,V121,Holidays!A$2:A$13))-1))</f>
        <v>0</v>
      </c>
      <c r="AP121" s="16" t="b">
        <f t="shared" si="6"/>
        <v>1</v>
      </c>
      <c r="AQ121" s="16" t="b">
        <f t="shared" si="7"/>
        <v>1</v>
      </c>
      <c r="AR121" s="60" t="str">
        <f t="shared" si="8"/>
        <v>OK</v>
      </c>
      <c r="AS121" s="60" t="str">
        <f>IF(table_data[[#This Row],[Flagged-Issues]] = 0, "", table_data[[#This Row],[Flagged-Issues]])</f>
        <v/>
      </c>
    </row>
    <row r="122" spans="1:45" x14ac:dyDescent="0.25">
      <c r="A122" t="s">
        <v>29</v>
      </c>
      <c r="B122" t="s">
        <v>121</v>
      </c>
      <c r="C122" t="s">
        <v>122</v>
      </c>
      <c r="D122" s="65">
        <v>202504041312</v>
      </c>
      <c r="E122" t="s">
        <v>327</v>
      </c>
      <c r="F122" t="s">
        <v>173</v>
      </c>
      <c r="G122"/>
      <c r="H122" t="s">
        <v>329</v>
      </c>
      <c r="I122" t="s">
        <v>126</v>
      </c>
      <c r="J122" t="s">
        <v>127</v>
      </c>
      <c r="K122" t="s">
        <v>128</v>
      </c>
      <c r="L122">
        <v>2</v>
      </c>
      <c r="M122" t="s">
        <v>141</v>
      </c>
      <c r="N122">
        <v>2</v>
      </c>
      <c r="O122">
        <v>2</v>
      </c>
      <c r="P122"/>
      <c r="Q122"/>
      <c r="R122"/>
      <c r="S122" s="72">
        <v>45751</v>
      </c>
      <c r="T122" s="72">
        <v>45754</v>
      </c>
      <c r="U122" s="72">
        <v>45754</v>
      </c>
      <c r="V122" s="72" t="s">
        <v>130</v>
      </c>
      <c r="W122" s="72">
        <v>45755</v>
      </c>
      <c r="X122" s="72" t="s">
        <v>130</v>
      </c>
      <c r="Y122" t="s">
        <v>146</v>
      </c>
      <c r="Z122" t="s">
        <v>147</v>
      </c>
      <c r="AA122" t="s">
        <v>131</v>
      </c>
      <c r="AB122" t="s">
        <v>131</v>
      </c>
      <c r="AC122" t="s">
        <v>131</v>
      </c>
      <c r="AD122" t="s">
        <v>131</v>
      </c>
      <c r="AE122" t="s">
        <v>131</v>
      </c>
      <c r="AF122" t="s">
        <v>131</v>
      </c>
      <c r="AG122" t="s">
        <v>131</v>
      </c>
      <c r="AH122" t="s">
        <v>132</v>
      </c>
      <c r="AI122" t="s">
        <v>131</v>
      </c>
      <c r="AJ122">
        <v>0</v>
      </c>
      <c r="AK122" t="s">
        <v>132</v>
      </c>
      <c r="AL122" t="s">
        <v>148</v>
      </c>
      <c r="AM122" s="16">
        <f>IF(OR(AC122="Yes",K122="Info Request", K122="Side-Project"),0,(NETWORKDAYS(T122,U122,Holidays!A$2:A$13))-1)</f>
        <v>0</v>
      </c>
      <c r="AN122" s="16">
        <f>IF(OR(AC122="Yes",K122="Info Request", K122="Side-Project"),0,(NETWORKDAYS(U122,W122,Holidays!A$2:A$13))-1)</f>
        <v>1</v>
      </c>
      <c r="AO122" s="16">
        <f>IF(OR(V122="none"),0,((NETWORKDAYS(S122,V122,Holidays!A$2:A$13))-1))</f>
        <v>0</v>
      </c>
      <c r="AP122" s="16" t="b">
        <f t="shared" si="6"/>
        <v>1</v>
      </c>
      <c r="AQ122" s="16" t="b">
        <f t="shared" si="7"/>
        <v>1</v>
      </c>
      <c r="AR122" s="60" t="str">
        <f t="shared" si="8"/>
        <v>OK</v>
      </c>
      <c r="AS122" s="60" t="str">
        <f>IF(table_data[[#This Row],[Flagged-Issues]] = 0, "", table_data[[#This Row],[Flagged-Issues]])</f>
        <v/>
      </c>
    </row>
    <row r="123" spans="1:45" x14ac:dyDescent="0.25">
      <c r="A123" t="s">
        <v>29</v>
      </c>
      <c r="B123" t="s">
        <v>154</v>
      </c>
      <c r="C123" t="s">
        <v>122</v>
      </c>
      <c r="D123" s="65">
        <v>202504110919</v>
      </c>
      <c r="E123" t="s">
        <v>330</v>
      </c>
      <c r="F123" t="s">
        <v>173</v>
      </c>
      <c r="G123"/>
      <c r="H123" t="s">
        <v>331</v>
      </c>
      <c r="I123" t="s">
        <v>126</v>
      </c>
      <c r="J123" t="s">
        <v>136</v>
      </c>
      <c r="K123" t="s">
        <v>207</v>
      </c>
      <c r="L123">
        <v>2</v>
      </c>
      <c r="M123" t="s">
        <v>137</v>
      </c>
      <c r="N123"/>
      <c r="O123"/>
      <c r="P123"/>
      <c r="Q123">
        <v>1</v>
      </c>
      <c r="R123"/>
      <c r="S123" s="72">
        <v>45758</v>
      </c>
      <c r="T123" s="72">
        <v>45758</v>
      </c>
      <c r="U123" s="72">
        <v>45758</v>
      </c>
      <c r="V123" s="72" t="s">
        <v>130</v>
      </c>
      <c r="W123" s="72">
        <v>45758</v>
      </c>
      <c r="X123" s="72" t="s">
        <v>130</v>
      </c>
      <c r="Y123"/>
      <c r="Z123"/>
      <c r="AA123" t="s">
        <v>131</v>
      </c>
      <c r="AB123" t="s">
        <v>131</v>
      </c>
      <c r="AC123" t="s">
        <v>131</v>
      </c>
      <c r="AD123" t="s">
        <v>131</v>
      </c>
      <c r="AE123" t="s">
        <v>131</v>
      </c>
      <c r="AF123" t="s">
        <v>131</v>
      </c>
      <c r="AG123" t="s">
        <v>131</v>
      </c>
      <c r="AH123" t="s">
        <v>131</v>
      </c>
      <c r="AI123" t="s">
        <v>131</v>
      </c>
      <c r="AJ123">
        <v>0</v>
      </c>
      <c r="AK123" t="s">
        <v>131</v>
      </c>
      <c r="AL123" t="s">
        <v>132</v>
      </c>
      <c r="AM123" s="16">
        <f>IF(OR(AC123="Yes",K123="Info Request", K123="Side-Project"),0,(NETWORKDAYS(T123,U123,Holidays!A$2:A$13))-1)</f>
        <v>0</v>
      </c>
      <c r="AN123" s="16">
        <f>IF(OR(AC123="Yes",K123="Info Request", K123="Side-Project"),0,(NETWORKDAYS(U123,W123,Holidays!A$2:A$13))-1)</f>
        <v>0</v>
      </c>
      <c r="AO123" s="16">
        <f>IF(OR(V123="none"),0,((NETWORKDAYS(S123,V123,Holidays!A$2:A$13))-1))</f>
        <v>0</v>
      </c>
      <c r="AP123" s="16" t="b">
        <f t="shared" si="6"/>
        <v>1</v>
      </c>
      <c r="AQ123" s="16" t="b">
        <f t="shared" si="7"/>
        <v>1</v>
      </c>
      <c r="AR123" s="60" t="str">
        <f t="shared" si="8"/>
        <v>OK</v>
      </c>
      <c r="AS123" s="60" t="str">
        <f>IF(table_data[[#This Row],[Flagged-Issues]] = 0, "", table_data[[#This Row],[Flagged-Issues]])</f>
        <v/>
      </c>
    </row>
    <row r="124" spans="1:45" x14ac:dyDescent="0.25">
      <c r="A124" t="s">
        <v>29</v>
      </c>
      <c r="B124" t="s">
        <v>121</v>
      </c>
      <c r="C124" t="s">
        <v>122</v>
      </c>
      <c r="D124" s="65">
        <v>202504150836</v>
      </c>
      <c r="E124" t="s">
        <v>246</v>
      </c>
      <c r="F124" t="s">
        <v>173</v>
      </c>
      <c r="G124"/>
      <c r="H124" t="s">
        <v>332</v>
      </c>
      <c r="I124" t="s">
        <v>126</v>
      </c>
      <c r="J124" t="s">
        <v>136</v>
      </c>
      <c r="K124" t="s">
        <v>128</v>
      </c>
      <c r="L124">
        <v>2</v>
      </c>
      <c r="M124" t="s">
        <v>158</v>
      </c>
      <c r="N124">
        <v>2</v>
      </c>
      <c r="O124">
        <v>2</v>
      </c>
      <c r="P124"/>
      <c r="Q124"/>
      <c r="R124"/>
      <c r="S124" s="72">
        <v>45762</v>
      </c>
      <c r="T124" s="72">
        <v>45762</v>
      </c>
      <c r="U124" s="72">
        <v>45762</v>
      </c>
      <c r="V124" s="72" t="s">
        <v>130</v>
      </c>
      <c r="W124" s="72">
        <v>45764</v>
      </c>
      <c r="X124" s="72" t="s">
        <v>130</v>
      </c>
      <c r="Y124" t="s">
        <v>146</v>
      </c>
      <c r="Z124" t="s">
        <v>147</v>
      </c>
      <c r="AA124" t="s">
        <v>131</v>
      </c>
      <c r="AB124" t="s">
        <v>132</v>
      </c>
      <c r="AC124" t="s">
        <v>131</v>
      </c>
      <c r="AD124" t="s">
        <v>131</v>
      </c>
      <c r="AE124" t="s">
        <v>131</v>
      </c>
      <c r="AF124" t="s">
        <v>131</v>
      </c>
      <c r="AG124" t="s">
        <v>131</v>
      </c>
      <c r="AH124" t="s">
        <v>131</v>
      </c>
      <c r="AI124" t="s">
        <v>132</v>
      </c>
      <c r="AJ124">
        <v>0</v>
      </c>
      <c r="AK124" t="s">
        <v>132</v>
      </c>
      <c r="AL124" t="s">
        <v>131</v>
      </c>
      <c r="AM124" s="16">
        <f>IF(OR(AC124="Yes",K124="Info Request", K124="Side-Project"),0,(NETWORKDAYS(T124,U124,Holidays!A$2:A$13))-1)</f>
        <v>0</v>
      </c>
      <c r="AN124" s="16">
        <f>IF(OR(AC124="Yes",K124="Info Request", K124="Side-Project"),0,(NETWORKDAYS(U124,W124,Holidays!A$2:A$13))-1)</f>
        <v>2</v>
      </c>
      <c r="AO124" s="16">
        <f>IF(OR(V124="none"),0,((NETWORKDAYS(S124,V124,Holidays!A$2:A$13))-1))</f>
        <v>0</v>
      </c>
      <c r="AP124" s="16" t="b">
        <f t="shared" si="6"/>
        <v>1</v>
      </c>
      <c r="AQ124" s="16" t="b">
        <f t="shared" si="7"/>
        <v>1</v>
      </c>
      <c r="AR124" s="60" t="str">
        <f t="shared" si="8"/>
        <v>OK</v>
      </c>
      <c r="AS124" s="60" t="str">
        <f>IF(table_data[[#This Row],[Flagged-Issues]] = 0, "", table_data[[#This Row],[Flagged-Issues]])</f>
        <v/>
      </c>
    </row>
    <row r="125" spans="1:45" x14ac:dyDescent="0.25">
      <c r="A125" t="s">
        <v>29</v>
      </c>
      <c r="B125" t="s">
        <v>121</v>
      </c>
      <c r="C125" t="s">
        <v>122</v>
      </c>
      <c r="D125" s="65">
        <v>202504010859</v>
      </c>
      <c r="E125" t="s">
        <v>246</v>
      </c>
      <c r="F125" t="s">
        <v>173</v>
      </c>
      <c r="G125"/>
      <c r="H125" t="s">
        <v>333</v>
      </c>
      <c r="I125" t="s">
        <v>126</v>
      </c>
      <c r="J125" t="s">
        <v>167</v>
      </c>
      <c r="K125" t="s">
        <v>128</v>
      </c>
      <c r="L125">
        <v>2</v>
      </c>
      <c r="M125" t="s">
        <v>143</v>
      </c>
      <c r="N125">
        <v>4</v>
      </c>
      <c r="O125"/>
      <c r="P125"/>
      <c r="Q125"/>
      <c r="R125"/>
      <c r="S125" s="72">
        <v>45748</v>
      </c>
      <c r="T125" s="72">
        <v>45749</v>
      </c>
      <c r="U125" s="72">
        <v>45749</v>
      </c>
      <c r="V125" s="72" t="s">
        <v>130</v>
      </c>
      <c r="W125" s="72">
        <v>45754</v>
      </c>
      <c r="X125" s="72" t="s">
        <v>130</v>
      </c>
      <c r="Y125"/>
      <c r="Z125"/>
      <c r="AA125" t="s">
        <v>131</v>
      </c>
      <c r="AB125" t="s">
        <v>132</v>
      </c>
      <c r="AC125" t="s">
        <v>131</v>
      </c>
      <c r="AD125" t="s">
        <v>131</v>
      </c>
      <c r="AE125" t="s">
        <v>131</v>
      </c>
      <c r="AF125" t="s">
        <v>131</v>
      </c>
      <c r="AG125" t="s">
        <v>131</v>
      </c>
      <c r="AH125" t="s">
        <v>131</v>
      </c>
      <c r="AI125" t="s">
        <v>131</v>
      </c>
      <c r="AJ125">
        <v>0</v>
      </c>
      <c r="AK125" t="s">
        <v>131</v>
      </c>
      <c r="AL125" t="s">
        <v>132</v>
      </c>
      <c r="AM125" s="16">
        <f>IF(OR(AC125="Yes",K125="Info Request", K125="Side-Project"),0,(NETWORKDAYS(T125,U125,Holidays!A$2:A$13))-1)</f>
        <v>0</v>
      </c>
      <c r="AN125" s="16">
        <f>IF(OR(AC125="Yes",K125="Info Request", K125="Side-Project"),0,(NETWORKDAYS(U125,W125,Holidays!A$2:A$13))-1)</f>
        <v>3</v>
      </c>
      <c r="AO125" s="16">
        <f>IF(OR(V125="none"),0,((NETWORKDAYS(S125,V125,Holidays!A$2:A$13))-1))</f>
        <v>0</v>
      </c>
      <c r="AP125" s="16" t="b">
        <f t="shared" si="6"/>
        <v>1</v>
      </c>
      <c r="AQ125" s="16" t="b">
        <f t="shared" si="7"/>
        <v>1</v>
      </c>
      <c r="AR125" s="60" t="str">
        <f t="shared" si="8"/>
        <v>OK</v>
      </c>
      <c r="AS125" s="60" t="str">
        <f>IF(table_data[[#This Row],[Flagged-Issues]] = 0, "", table_data[[#This Row],[Flagged-Issues]])</f>
        <v/>
      </c>
    </row>
    <row r="126" spans="1:45" x14ac:dyDescent="0.25">
      <c r="A126" t="s">
        <v>29</v>
      </c>
      <c r="B126" t="s">
        <v>121</v>
      </c>
      <c r="C126" t="s">
        <v>122</v>
      </c>
      <c r="D126" s="65">
        <v>202504081322</v>
      </c>
      <c r="E126" t="s">
        <v>327</v>
      </c>
      <c r="F126" t="s">
        <v>173</v>
      </c>
      <c r="G126"/>
      <c r="H126" t="s">
        <v>334</v>
      </c>
      <c r="I126" t="s">
        <v>126</v>
      </c>
      <c r="J126" t="s">
        <v>136</v>
      </c>
      <c r="K126" t="s">
        <v>128</v>
      </c>
      <c r="L126">
        <v>2</v>
      </c>
      <c r="M126" t="s">
        <v>137</v>
      </c>
      <c r="N126">
        <v>2</v>
      </c>
      <c r="O126"/>
      <c r="P126"/>
      <c r="Q126"/>
      <c r="R126"/>
      <c r="S126" s="72">
        <v>45755</v>
      </c>
      <c r="T126" s="72">
        <v>45755</v>
      </c>
      <c r="U126" s="72">
        <v>45755</v>
      </c>
      <c r="V126" s="72" t="s">
        <v>130</v>
      </c>
      <c r="W126" s="72">
        <v>45755</v>
      </c>
      <c r="X126" s="72" t="s">
        <v>130</v>
      </c>
      <c r="Y126"/>
      <c r="Z126"/>
      <c r="AA126" t="s">
        <v>131</v>
      </c>
      <c r="AB126" t="s">
        <v>132</v>
      </c>
      <c r="AC126" t="s">
        <v>131</v>
      </c>
      <c r="AD126" t="s">
        <v>131</v>
      </c>
      <c r="AE126" t="s">
        <v>131</v>
      </c>
      <c r="AF126" t="s">
        <v>131</v>
      </c>
      <c r="AG126" t="s">
        <v>131</v>
      </c>
      <c r="AH126" t="s">
        <v>131</v>
      </c>
      <c r="AI126" t="s">
        <v>131</v>
      </c>
      <c r="AJ126">
        <v>0</v>
      </c>
      <c r="AK126" t="s">
        <v>131</v>
      </c>
      <c r="AL126" t="s">
        <v>132</v>
      </c>
      <c r="AM126" s="16">
        <f>IF(OR(AC126="Yes",K126="Info Request", K126="Side-Project"),0,(NETWORKDAYS(T126,U126,Holidays!A$2:A$13))-1)</f>
        <v>0</v>
      </c>
      <c r="AN126" s="16">
        <f>IF(OR(AC126="Yes",K126="Info Request", K126="Side-Project"),0,(NETWORKDAYS(U126,W126,Holidays!A$2:A$13))-1)</f>
        <v>0</v>
      </c>
      <c r="AO126" s="16">
        <f>IF(OR(V126="none"),0,((NETWORKDAYS(S126,V126,Holidays!A$2:A$13))-1))</f>
        <v>0</v>
      </c>
      <c r="AP126" s="16" t="b">
        <f t="shared" si="6"/>
        <v>1</v>
      </c>
      <c r="AQ126" s="16" t="b">
        <f t="shared" si="7"/>
        <v>1</v>
      </c>
      <c r="AR126" s="60" t="str">
        <f t="shared" si="8"/>
        <v>OK</v>
      </c>
      <c r="AS126" s="60" t="str">
        <f>IF(table_data[[#This Row],[Flagged-Issues]] = 0, "", table_data[[#This Row],[Flagged-Issues]])</f>
        <v/>
      </c>
    </row>
    <row r="127" spans="1:45" x14ac:dyDescent="0.25">
      <c r="A127" t="s">
        <v>29</v>
      </c>
      <c r="B127" t="s">
        <v>121</v>
      </c>
      <c r="C127" t="s">
        <v>122</v>
      </c>
      <c r="D127" s="65">
        <v>202503271529</v>
      </c>
      <c r="E127" t="s">
        <v>330</v>
      </c>
      <c r="F127" t="s">
        <v>173</v>
      </c>
      <c r="G127"/>
      <c r="H127" t="s">
        <v>335</v>
      </c>
      <c r="I127" t="s">
        <v>126</v>
      </c>
      <c r="J127" t="s">
        <v>206</v>
      </c>
      <c r="K127" t="s">
        <v>128</v>
      </c>
      <c r="L127">
        <v>2</v>
      </c>
      <c r="M127" t="s">
        <v>162</v>
      </c>
      <c r="N127">
        <v>2</v>
      </c>
      <c r="O127">
        <v>2</v>
      </c>
      <c r="P127"/>
      <c r="Q127">
        <v>1</v>
      </c>
      <c r="R127"/>
      <c r="S127" s="72">
        <v>45743</v>
      </c>
      <c r="T127" s="72">
        <v>45743</v>
      </c>
      <c r="U127" s="72">
        <v>45743</v>
      </c>
      <c r="V127" s="72" t="s">
        <v>130</v>
      </c>
      <c r="W127" s="72">
        <v>45749</v>
      </c>
      <c r="X127" s="72" t="s">
        <v>130</v>
      </c>
      <c r="Y127"/>
      <c r="Z127"/>
      <c r="AA127" t="s">
        <v>132</v>
      </c>
      <c r="AB127" t="s">
        <v>132</v>
      </c>
      <c r="AC127" t="s">
        <v>131</v>
      </c>
      <c r="AD127" t="s">
        <v>131</v>
      </c>
      <c r="AE127" t="s">
        <v>131</v>
      </c>
      <c r="AF127" t="s">
        <v>131</v>
      </c>
      <c r="AG127" t="s">
        <v>131</v>
      </c>
      <c r="AH127" t="s">
        <v>131</v>
      </c>
      <c r="AI127" t="s">
        <v>132</v>
      </c>
      <c r="AJ127">
        <v>0</v>
      </c>
      <c r="AK127" t="s">
        <v>131</v>
      </c>
      <c r="AL127" t="s">
        <v>132</v>
      </c>
      <c r="AM127" s="16">
        <f>IF(OR(AC127="Yes",K127="Info Request", K127="Side-Project"),0,(NETWORKDAYS(T127,U127,Holidays!A$2:A$13))-1)</f>
        <v>0</v>
      </c>
      <c r="AN127" s="16">
        <f>IF(OR(AC127="Yes",K127="Info Request", K127="Side-Project"),0,(NETWORKDAYS(U127,W127,Holidays!A$2:A$13))-1)</f>
        <v>4</v>
      </c>
      <c r="AO127" s="16">
        <f>IF(OR(V127="none"),0,((NETWORKDAYS(S127,V127,Holidays!A$2:A$13))-1))</f>
        <v>0</v>
      </c>
      <c r="AP127" s="16" t="b">
        <f t="shared" si="6"/>
        <v>1</v>
      </c>
      <c r="AQ127" s="16" t="b">
        <f t="shared" si="7"/>
        <v>1</v>
      </c>
      <c r="AR127" s="60" t="str">
        <f t="shared" si="8"/>
        <v>OK</v>
      </c>
      <c r="AS127" s="60" t="str">
        <f>IF(table_data[[#This Row],[Flagged-Issues]] = 0, "", table_data[[#This Row],[Flagged-Issues]])</f>
        <v/>
      </c>
    </row>
    <row r="128" spans="1:45" x14ac:dyDescent="0.25">
      <c r="A128" t="s">
        <v>29</v>
      </c>
      <c r="B128" t="s">
        <v>121</v>
      </c>
      <c r="C128" t="s">
        <v>122</v>
      </c>
      <c r="D128" s="65">
        <v>202503131028</v>
      </c>
      <c r="E128" t="s">
        <v>330</v>
      </c>
      <c r="F128" t="s">
        <v>173</v>
      </c>
      <c r="G128"/>
      <c r="H128" t="s">
        <v>336</v>
      </c>
      <c r="I128" t="s">
        <v>126</v>
      </c>
      <c r="J128" t="s">
        <v>167</v>
      </c>
      <c r="K128" t="s">
        <v>128</v>
      </c>
      <c r="L128">
        <v>2</v>
      </c>
      <c r="M128" t="s">
        <v>129</v>
      </c>
      <c r="N128">
        <v>2</v>
      </c>
      <c r="O128"/>
      <c r="P128"/>
      <c r="Q128"/>
      <c r="R128"/>
      <c r="S128" s="72">
        <v>45729</v>
      </c>
      <c r="T128" s="72">
        <v>45729</v>
      </c>
      <c r="U128" s="72">
        <v>45729</v>
      </c>
      <c r="V128" s="72" t="s">
        <v>130</v>
      </c>
      <c r="W128" s="72">
        <v>45772</v>
      </c>
      <c r="X128" s="72" t="s">
        <v>130</v>
      </c>
      <c r="Y128"/>
      <c r="Z128"/>
      <c r="AA128" t="s">
        <v>131</v>
      </c>
      <c r="AB128" t="s">
        <v>132</v>
      </c>
      <c r="AC128" t="s">
        <v>131</v>
      </c>
      <c r="AD128" t="s">
        <v>131</v>
      </c>
      <c r="AE128" t="s">
        <v>131</v>
      </c>
      <c r="AF128" t="s">
        <v>131</v>
      </c>
      <c r="AG128" t="s">
        <v>131</v>
      </c>
      <c r="AH128" t="s">
        <v>131</v>
      </c>
      <c r="AI128" t="s">
        <v>132</v>
      </c>
      <c r="AJ128">
        <v>0</v>
      </c>
      <c r="AK128" t="s">
        <v>131</v>
      </c>
      <c r="AL128" t="s">
        <v>132</v>
      </c>
      <c r="AM128" s="16">
        <f>IF(OR(AC128="Yes",K128="Info Request", K128="Side-Project"),0,(NETWORKDAYS(T128,U128,Holidays!A$2:A$13))-1)</f>
        <v>0</v>
      </c>
      <c r="AN128" s="16">
        <f>IF(OR(AC128="Yes",K128="Info Request", K128="Side-Project"),0,(NETWORKDAYS(U128,W128,Holidays!A$2:A$13))-1)</f>
        <v>29</v>
      </c>
      <c r="AO128" s="16">
        <f>IF(OR(V128="none"),0,((NETWORKDAYS(S128,V128,Holidays!A$2:A$13))-1))</f>
        <v>0</v>
      </c>
      <c r="AP128" s="16" t="b">
        <f t="shared" si="6"/>
        <v>1</v>
      </c>
      <c r="AQ128" s="16" t="b">
        <f t="shared" si="7"/>
        <v>1</v>
      </c>
      <c r="AR128" s="60" t="str">
        <f t="shared" si="8"/>
        <v>OK</v>
      </c>
      <c r="AS128" s="60" t="str">
        <f>IF(table_data[[#This Row],[Flagged-Issues]] = 0, "", table_data[[#This Row],[Flagged-Issues]])</f>
        <v/>
      </c>
    </row>
    <row r="129" spans="1:45" x14ac:dyDescent="0.25">
      <c r="A129" t="s">
        <v>104</v>
      </c>
      <c r="B129" t="s">
        <v>154</v>
      </c>
      <c r="C129" t="s">
        <v>122</v>
      </c>
      <c r="D129" s="65">
        <v>202504111108</v>
      </c>
      <c r="E129" t="s">
        <v>210</v>
      </c>
      <c r="F129" t="s">
        <v>134</v>
      </c>
      <c r="G129"/>
      <c r="H129" t="s">
        <v>337</v>
      </c>
      <c r="I129" t="s">
        <v>126</v>
      </c>
      <c r="J129" t="s">
        <v>136</v>
      </c>
      <c r="K129" t="s">
        <v>179</v>
      </c>
      <c r="L129">
        <v>2</v>
      </c>
      <c r="M129" t="s">
        <v>158</v>
      </c>
      <c r="N129"/>
      <c r="O129"/>
      <c r="P129"/>
      <c r="Q129"/>
      <c r="R129"/>
      <c r="S129" s="72">
        <v>45758</v>
      </c>
      <c r="T129" s="72">
        <v>45758</v>
      </c>
      <c r="U129" s="72">
        <v>45758</v>
      </c>
      <c r="V129" s="72" t="s">
        <v>130</v>
      </c>
      <c r="W129" s="72">
        <v>45758</v>
      </c>
      <c r="X129" s="72" t="s">
        <v>130</v>
      </c>
      <c r="Y129"/>
      <c r="Z129"/>
      <c r="AA129" t="s">
        <v>131</v>
      </c>
      <c r="AB129" t="s">
        <v>131</v>
      </c>
      <c r="AC129" t="s">
        <v>131</v>
      </c>
      <c r="AD129" t="s">
        <v>131</v>
      </c>
      <c r="AE129" t="s">
        <v>131</v>
      </c>
      <c r="AF129" t="s">
        <v>131</v>
      </c>
      <c r="AG129" t="s">
        <v>131</v>
      </c>
      <c r="AH129" t="s">
        <v>131</v>
      </c>
      <c r="AI129" t="s">
        <v>132</v>
      </c>
      <c r="AJ129">
        <v>0</v>
      </c>
      <c r="AK129" t="s">
        <v>131</v>
      </c>
      <c r="AL129" t="s">
        <v>132</v>
      </c>
      <c r="AM129" s="16">
        <f>IF(OR(AC129="Yes",K129="Info Request", K129="Side-Project"),0,(NETWORKDAYS(T129,U129,Holidays!A$2:A$13))-1)</f>
        <v>0</v>
      </c>
      <c r="AN129" s="16">
        <f>IF(OR(AC129="Yes",K129="Info Request", K129="Side-Project"),0,(NETWORKDAYS(U129,W129,Holidays!A$2:A$13))-1)</f>
        <v>0</v>
      </c>
      <c r="AO129" s="16">
        <f>IF(OR(V129="none"),0,((NETWORKDAYS(S129,V129,Holidays!A$2:A$13))-1))</f>
        <v>0</v>
      </c>
      <c r="AP129" s="16" t="b">
        <f t="shared" si="6"/>
        <v>1</v>
      </c>
      <c r="AQ129" s="16" t="b">
        <f t="shared" si="7"/>
        <v>1</v>
      </c>
      <c r="AR129" s="60" t="str">
        <f t="shared" si="8"/>
        <v>OK</v>
      </c>
      <c r="AS129" s="60" t="str">
        <f>IF(table_data[[#This Row],[Flagged-Issues]] = 0, "", table_data[[#This Row],[Flagged-Issues]])</f>
        <v/>
      </c>
    </row>
    <row r="130" spans="1:45" x14ac:dyDescent="0.25">
      <c r="A130" t="s">
        <v>29</v>
      </c>
      <c r="B130" t="s">
        <v>154</v>
      </c>
      <c r="C130" t="s">
        <v>122</v>
      </c>
      <c r="D130" s="65">
        <v>202503281134</v>
      </c>
      <c r="E130" t="s">
        <v>338</v>
      </c>
      <c r="F130" t="s">
        <v>173</v>
      </c>
      <c r="G130"/>
      <c r="H130" t="s">
        <v>339</v>
      </c>
      <c r="I130" t="s">
        <v>126</v>
      </c>
      <c r="J130" t="s">
        <v>136</v>
      </c>
      <c r="K130" t="s">
        <v>207</v>
      </c>
      <c r="L130">
        <v>2</v>
      </c>
      <c r="M130" t="s">
        <v>137</v>
      </c>
      <c r="N130"/>
      <c r="O130"/>
      <c r="P130"/>
      <c r="Q130">
        <v>2</v>
      </c>
      <c r="R130"/>
      <c r="S130" s="72">
        <v>45744</v>
      </c>
      <c r="T130" s="72">
        <v>45749</v>
      </c>
      <c r="U130" s="72">
        <v>45749</v>
      </c>
      <c r="V130" s="72" t="s">
        <v>130</v>
      </c>
      <c r="W130" s="72">
        <v>45749</v>
      </c>
      <c r="X130" s="72" t="s">
        <v>130</v>
      </c>
      <c r="Y130"/>
      <c r="Z130"/>
      <c r="AA130" t="s">
        <v>131</v>
      </c>
      <c r="AB130" t="s">
        <v>131</v>
      </c>
      <c r="AC130" t="s">
        <v>131</v>
      </c>
      <c r="AD130" t="s">
        <v>131</v>
      </c>
      <c r="AE130" t="s">
        <v>131</v>
      </c>
      <c r="AF130" t="s">
        <v>131</v>
      </c>
      <c r="AG130" t="s">
        <v>131</v>
      </c>
      <c r="AH130" t="s">
        <v>131</v>
      </c>
      <c r="AI130" t="s">
        <v>131</v>
      </c>
      <c r="AJ130">
        <v>0</v>
      </c>
      <c r="AK130" t="s">
        <v>131</v>
      </c>
      <c r="AL130" t="s">
        <v>132</v>
      </c>
      <c r="AM130" s="16">
        <f>IF(OR(AC130="Yes",K130="Info Request", K130="Side-Project"),0,(NETWORKDAYS(T130,U130,Holidays!A$2:A$13))-1)</f>
        <v>0</v>
      </c>
      <c r="AN130" s="16">
        <f>IF(OR(AC130="Yes",K130="Info Request", K130="Side-Project"),0,(NETWORKDAYS(U130,W130,Holidays!A$2:A$13))-1)</f>
        <v>0</v>
      </c>
      <c r="AO130" s="16">
        <f>IF(OR(V130="none"),0,((NETWORKDAYS(S130,V130,Holidays!A$2:A$13))-1))</f>
        <v>0</v>
      </c>
      <c r="AP130" s="16" t="b">
        <f t="shared" si="6"/>
        <v>1</v>
      </c>
      <c r="AQ130" s="16" t="b">
        <f t="shared" si="7"/>
        <v>1</v>
      </c>
      <c r="AR130" s="60" t="str">
        <f t="shared" si="8"/>
        <v>OK</v>
      </c>
      <c r="AS130" s="60" t="str">
        <f>IF(table_data[[#This Row],[Flagged-Issues]] = 0, "", table_data[[#This Row],[Flagged-Issues]])</f>
        <v/>
      </c>
    </row>
    <row r="131" spans="1:45" x14ac:dyDescent="0.25">
      <c r="A131" t="s">
        <v>29</v>
      </c>
      <c r="B131" t="s">
        <v>154</v>
      </c>
      <c r="C131" t="s">
        <v>122</v>
      </c>
      <c r="D131" s="65">
        <v>202503261018</v>
      </c>
      <c r="E131" t="s">
        <v>338</v>
      </c>
      <c r="F131" t="s">
        <v>173</v>
      </c>
      <c r="G131"/>
      <c r="H131" t="s">
        <v>340</v>
      </c>
      <c r="I131" t="s">
        <v>126</v>
      </c>
      <c r="J131" t="s">
        <v>136</v>
      </c>
      <c r="K131" t="s">
        <v>128</v>
      </c>
      <c r="L131">
        <v>2</v>
      </c>
      <c r="M131" t="s">
        <v>143</v>
      </c>
      <c r="N131">
        <v>4</v>
      </c>
      <c r="O131"/>
      <c r="P131"/>
      <c r="Q131">
        <v>2</v>
      </c>
      <c r="R131"/>
      <c r="S131" s="72">
        <v>45742</v>
      </c>
      <c r="T131" s="72">
        <v>45748</v>
      </c>
      <c r="U131" s="72">
        <v>45748</v>
      </c>
      <c r="V131" s="72" t="s">
        <v>130</v>
      </c>
      <c r="W131" s="72">
        <v>45748</v>
      </c>
      <c r="X131" s="72" t="s">
        <v>130</v>
      </c>
      <c r="Y131"/>
      <c r="Z131"/>
      <c r="AA131" t="s">
        <v>131</v>
      </c>
      <c r="AB131" t="s">
        <v>131</v>
      </c>
      <c r="AC131" t="s">
        <v>131</v>
      </c>
      <c r="AD131" t="s">
        <v>131</v>
      </c>
      <c r="AE131" t="s">
        <v>131</v>
      </c>
      <c r="AF131" t="s">
        <v>131</v>
      </c>
      <c r="AG131" t="s">
        <v>131</v>
      </c>
      <c r="AH131" t="s">
        <v>131</v>
      </c>
      <c r="AI131" t="s">
        <v>131</v>
      </c>
      <c r="AJ131">
        <v>0</v>
      </c>
      <c r="AK131" t="s">
        <v>131</v>
      </c>
      <c r="AL131" t="s">
        <v>132</v>
      </c>
      <c r="AM131" s="16">
        <f>IF(OR(AC131="Yes",K131="Info Request", K131="Side-Project"),0,(NETWORKDAYS(T131,U131,Holidays!A$2:A$13))-1)</f>
        <v>0</v>
      </c>
      <c r="AN131" s="16">
        <f>IF(OR(AC131="Yes",K131="Info Request", K131="Side-Project"),0,(NETWORKDAYS(U131,W131,Holidays!A$2:A$13))-1)</f>
        <v>0</v>
      </c>
      <c r="AO131" s="16">
        <f>IF(OR(V131="none"),0,((NETWORKDAYS(S131,V131,Holidays!A$2:A$13))-1))</f>
        <v>0</v>
      </c>
      <c r="AP131" s="16" t="b">
        <f t="shared" ref="AP131:AP194" si="9">OR(AO131&lt;=L131)</f>
        <v>1</v>
      </c>
      <c r="AQ131" s="16" t="b">
        <f t="shared" ref="AQ131:AQ194" si="10">OR(AM131&lt;=L131)</f>
        <v>1</v>
      </c>
      <c r="AR131" s="60" t="str">
        <f t="shared" ref="AR131:AR194" si="11">IF(AJ131 &gt; (N131 + O131), "too many URLs", "OK")</f>
        <v>OK</v>
      </c>
      <c r="AS131" s="60" t="str">
        <f>IF(table_data[[#This Row],[Flagged-Issues]] = 0, "", table_data[[#This Row],[Flagged-Issues]])</f>
        <v/>
      </c>
    </row>
    <row r="132" spans="1:45" x14ac:dyDescent="0.25">
      <c r="A132" t="s">
        <v>29</v>
      </c>
      <c r="B132" t="s">
        <v>154</v>
      </c>
      <c r="C132" t="s">
        <v>122</v>
      </c>
      <c r="D132" s="65">
        <v>202504011327</v>
      </c>
      <c r="E132" t="s">
        <v>338</v>
      </c>
      <c r="F132" t="s">
        <v>173</v>
      </c>
      <c r="G132"/>
      <c r="H132" t="s">
        <v>341</v>
      </c>
      <c r="I132" t="s">
        <v>126</v>
      </c>
      <c r="J132" t="s">
        <v>136</v>
      </c>
      <c r="K132" t="s">
        <v>128</v>
      </c>
      <c r="L132">
        <v>2</v>
      </c>
      <c r="M132" t="s">
        <v>129</v>
      </c>
      <c r="N132">
        <v>4</v>
      </c>
      <c r="O132"/>
      <c r="P132"/>
      <c r="Q132">
        <v>2</v>
      </c>
      <c r="R132"/>
      <c r="S132" s="72">
        <v>45748</v>
      </c>
      <c r="T132" s="72">
        <v>45751</v>
      </c>
      <c r="U132" s="72">
        <v>45751</v>
      </c>
      <c r="V132" s="72" t="s">
        <v>130</v>
      </c>
      <c r="W132" s="72">
        <v>45751</v>
      </c>
      <c r="X132" s="72" t="s">
        <v>130</v>
      </c>
      <c r="Y132"/>
      <c r="Z132"/>
      <c r="AA132" t="s">
        <v>131</v>
      </c>
      <c r="AB132" t="s">
        <v>131</v>
      </c>
      <c r="AC132" t="s">
        <v>131</v>
      </c>
      <c r="AD132" t="s">
        <v>131</v>
      </c>
      <c r="AE132" t="s">
        <v>131</v>
      </c>
      <c r="AF132" t="s">
        <v>131</v>
      </c>
      <c r="AG132" t="s">
        <v>131</v>
      </c>
      <c r="AH132" t="s">
        <v>131</v>
      </c>
      <c r="AI132" t="s">
        <v>131</v>
      </c>
      <c r="AJ132">
        <v>0</v>
      </c>
      <c r="AK132" t="s">
        <v>131</v>
      </c>
      <c r="AL132" t="s">
        <v>132</v>
      </c>
      <c r="AM132" s="16">
        <f>IF(OR(AC132="Yes",K132="Info Request", K132="Side-Project"),0,(NETWORKDAYS(T132,U132,Holidays!A$2:A$13))-1)</f>
        <v>0</v>
      </c>
      <c r="AN132" s="16">
        <f>IF(OR(AC132="Yes",K132="Info Request", K132="Side-Project"),0,(NETWORKDAYS(U132,W132,Holidays!A$2:A$13))-1)</f>
        <v>0</v>
      </c>
      <c r="AO132" s="16">
        <f>IF(OR(V132="none"),0,((NETWORKDAYS(S132,V132,Holidays!A$2:A$13))-1))</f>
        <v>0</v>
      </c>
      <c r="AP132" s="16" t="b">
        <f t="shared" si="9"/>
        <v>1</v>
      </c>
      <c r="AQ132" s="16" t="b">
        <f t="shared" si="10"/>
        <v>1</v>
      </c>
      <c r="AR132" s="60" t="str">
        <f t="shared" si="11"/>
        <v>OK</v>
      </c>
      <c r="AS132" s="60" t="str">
        <f>IF(table_data[[#This Row],[Flagged-Issues]] = 0, "", table_data[[#This Row],[Flagged-Issues]])</f>
        <v/>
      </c>
    </row>
    <row r="133" spans="1:45" x14ac:dyDescent="0.25">
      <c r="A133" t="s">
        <v>104</v>
      </c>
      <c r="B133" t="s">
        <v>154</v>
      </c>
      <c r="C133" t="s">
        <v>122</v>
      </c>
      <c r="D133" s="65">
        <v>202504151312</v>
      </c>
      <c r="E133" t="s">
        <v>263</v>
      </c>
      <c r="F133" t="s">
        <v>134</v>
      </c>
      <c r="G133"/>
      <c r="H133" t="s">
        <v>342</v>
      </c>
      <c r="I133" t="s">
        <v>126</v>
      </c>
      <c r="J133" t="s">
        <v>136</v>
      </c>
      <c r="K133" t="s">
        <v>128</v>
      </c>
      <c r="L133">
        <v>2</v>
      </c>
      <c r="M133" t="s">
        <v>137</v>
      </c>
      <c r="N133">
        <v>1</v>
      </c>
      <c r="O133"/>
      <c r="P133"/>
      <c r="Q133"/>
      <c r="R133"/>
      <c r="S133" s="72">
        <v>45762</v>
      </c>
      <c r="T133" s="72">
        <v>45764</v>
      </c>
      <c r="U133" s="72">
        <v>45764</v>
      </c>
      <c r="V133" s="72" t="s">
        <v>130</v>
      </c>
      <c r="W133" s="72">
        <v>45764</v>
      </c>
      <c r="X133" s="72" t="s">
        <v>130</v>
      </c>
      <c r="Y133"/>
      <c r="Z133"/>
      <c r="AA133" t="s">
        <v>131</v>
      </c>
      <c r="AB133" t="s">
        <v>131</v>
      </c>
      <c r="AC133" t="s">
        <v>131</v>
      </c>
      <c r="AD133" t="s">
        <v>131</v>
      </c>
      <c r="AE133" t="s">
        <v>131</v>
      </c>
      <c r="AF133" t="s">
        <v>131</v>
      </c>
      <c r="AG133" t="s">
        <v>131</v>
      </c>
      <c r="AH133" t="s">
        <v>131</v>
      </c>
      <c r="AI133" t="s">
        <v>132</v>
      </c>
      <c r="AJ133">
        <v>0</v>
      </c>
      <c r="AK133" t="s">
        <v>131</v>
      </c>
      <c r="AL133" t="s">
        <v>132</v>
      </c>
      <c r="AM133" s="16">
        <f>IF(OR(AC133="Yes",K133="Info Request", K133="Side-Project"),0,(NETWORKDAYS(T133,U133,Holidays!A$2:A$13))-1)</f>
        <v>0</v>
      </c>
      <c r="AN133" s="16">
        <f>IF(OR(AC133="Yes",K133="Info Request", K133="Side-Project"),0,(NETWORKDAYS(U133,W133,Holidays!A$2:A$13))-1)</f>
        <v>0</v>
      </c>
      <c r="AO133" s="16">
        <f>IF(OR(V133="none"),0,((NETWORKDAYS(S133,V133,Holidays!A$2:A$13))-1))</f>
        <v>0</v>
      </c>
      <c r="AP133" s="16" t="b">
        <f t="shared" si="9"/>
        <v>1</v>
      </c>
      <c r="AQ133" s="16" t="b">
        <f t="shared" si="10"/>
        <v>1</v>
      </c>
      <c r="AR133" s="60" t="str">
        <f t="shared" si="11"/>
        <v>OK</v>
      </c>
      <c r="AS133" s="60" t="str">
        <f>IF(table_data[[#This Row],[Flagged-Issues]] = 0, "", table_data[[#This Row],[Flagged-Issues]])</f>
        <v/>
      </c>
    </row>
    <row r="134" spans="1:45" x14ac:dyDescent="0.25">
      <c r="A134" t="s">
        <v>104</v>
      </c>
      <c r="B134" t="s">
        <v>154</v>
      </c>
      <c r="C134" t="s">
        <v>122</v>
      </c>
      <c r="D134" s="65">
        <v>202504231409</v>
      </c>
      <c r="E134" t="s">
        <v>253</v>
      </c>
      <c r="F134" t="s">
        <v>134</v>
      </c>
      <c r="G134"/>
      <c r="H134" t="s">
        <v>343</v>
      </c>
      <c r="I134" t="s">
        <v>126</v>
      </c>
      <c r="J134" t="s">
        <v>145</v>
      </c>
      <c r="K134" t="s">
        <v>128</v>
      </c>
      <c r="L134">
        <v>2</v>
      </c>
      <c r="M134" t="s">
        <v>162</v>
      </c>
      <c r="N134">
        <v>2</v>
      </c>
      <c r="O134"/>
      <c r="P134"/>
      <c r="Q134"/>
      <c r="R134"/>
      <c r="S134" s="72">
        <v>45770</v>
      </c>
      <c r="T134" s="72">
        <v>45772</v>
      </c>
      <c r="U134" s="72">
        <v>45772</v>
      </c>
      <c r="V134" s="72" t="s">
        <v>130</v>
      </c>
      <c r="W134" s="72">
        <v>45775</v>
      </c>
      <c r="X134" s="72" t="s">
        <v>130</v>
      </c>
      <c r="Y134"/>
      <c r="Z134"/>
      <c r="AA134" t="s">
        <v>131</v>
      </c>
      <c r="AB134" t="s">
        <v>131</v>
      </c>
      <c r="AC134" t="s">
        <v>131</v>
      </c>
      <c r="AD134" t="s">
        <v>131</v>
      </c>
      <c r="AE134" t="s">
        <v>131</v>
      </c>
      <c r="AF134" t="s">
        <v>131</v>
      </c>
      <c r="AG134" t="s">
        <v>131</v>
      </c>
      <c r="AH134" t="s">
        <v>131</v>
      </c>
      <c r="AI134" t="s">
        <v>131</v>
      </c>
      <c r="AJ134">
        <v>0</v>
      </c>
      <c r="AK134" t="s">
        <v>131</v>
      </c>
      <c r="AL134" t="s">
        <v>132</v>
      </c>
      <c r="AM134" s="16">
        <f>IF(OR(AC134="Yes",K134="Info Request", K134="Side-Project"),0,(NETWORKDAYS(T134,U134,Holidays!A$2:A$13))-1)</f>
        <v>0</v>
      </c>
      <c r="AN134" s="16">
        <f>IF(OR(AC134="Yes",K134="Info Request", K134="Side-Project"),0,(NETWORKDAYS(U134,W134,Holidays!A$2:A$13))-1)</f>
        <v>1</v>
      </c>
      <c r="AO134" s="16">
        <f>IF(OR(V134="none"),0,((NETWORKDAYS(S134,V134,Holidays!A$2:A$13))-1))</f>
        <v>0</v>
      </c>
      <c r="AP134" s="16" t="b">
        <f t="shared" si="9"/>
        <v>1</v>
      </c>
      <c r="AQ134" s="16" t="b">
        <f t="shared" si="10"/>
        <v>1</v>
      </c>
      <c r="AR134" s="60" t="str">
        <f t="shared" si="11"/>
        <v>OK</v>
      </c>
      <c r="AS134" s="60" t="str">
        <f>IF(table_data[[#This Row],[Flagged-Issues]] = 0, "", table_data[[#This Row],[Flagged-Issues]])</f>
        <v/>
      </c>
    </row>
    <row r="135" spans="1:45" x14ac:dyDescent="0.25">
      <c r="A135" t="s">
        <v>29</v>
      </c>
      <c r="B135" t="s">
        <v>154</v>
      </c>
      <c r="C135" t="s">
        <v>122</v>
      </c>
      <c r="D135" s="65">
        <v>202503250916</v>
      </c>
      <c r="E135" t="s">
        <v>123</v>
      </c>
      <c r="F135" t="s">
        <v>124</v>
      </c>
      <c r="G135"/>
      <c r="H135" t="s">
        <v>344</v>
      </c>
      <c r="I135" t="s">
        <v>126</v>
      </c>
      <c r="J135" t="s">
        <v>145</v>
      </c>
      <c r="K135" t="s">
        <v>128</v>
      </c>
      <c r="L135">
        <v>2</v>
      </c>
      <c r="M135" t="s">
        <v>141</v>
      </c>
      <c r="N135">
        <v>4</v>
      </c>
      <c r="O135"/>
      <c r="P135"/>
      <c r="Q135">
        <v>2</v>
      </c>
      <c r="R135"/>
      <c r="S135" s="72">
        <v>45741</v>
      </c>
      <c r="T135" s="72">
        <v>45743</v>
      </c>
      <c r="U135" s="72">
        <v>45743</v>
      </c>
      <c r="V135" s="72" t="s">
        <v>130</v>
      </c>
      <c r="W135" s="72">
        <v>45748</v>
      </c>
      <c r="X135" s="72" t="s">
        <v>130</v>
      </c>
      <c r="Y135"/>
      <c r="Z135"/>
      <c r="AA135" t="s">
        <v>131</v>
      </c>
      <c r="AB135" t="s">
        <v>131</v>
      </c>
      <c r="AC135" t="s">
        <v>131</v>
      </c>
      <c r="AD135" t="s">
        <v>131</v>
      </c>
      <c r="AE135" t="s">
        <v>131</v>
      </c>
      <c r="AF135" t="s">
        <v>131</v>
      </c>
      <c r="AG135" t="s">
        <v>131</v>
      </c>
      <c r="AH135" t="s">
        <v>131</v>
      </c>
      <c r="AI135" t="s">
        <v>131</v>
      </c>
      <c r="AJ135">
        <v>0</v>
      </c>
      <c r="AK135" t="s">
        <v>131</v>
      </c>
      <c r="AL135" t="s">
        <v>132</v>
      </c>
      <c r="AM135" s="16">
        <f>IF(OR(AC135="Yes",K135="Info Request", K135="Side-Project"),0,(NETWORKDAYS(T135,U135,Holidays!A$2:A$13))-1)</f>
        <v>0</v>
      </c>
      <c r="AN135" s="16">
        <f>IF(OR(AC135="Yes",K135="Info Request", K135="Side-Project"),0,(NETWORKDAYS(U135,W135,Holidays!A$2:A$13))-1)</f>
        <v>3</v>
      </c>
      <c r="AO135" s="16">
        <f>IF(OR(V135="none"),0,((NETWORKDAYS(S135,V135,Holidays!A$2:A$13))-1))</f>
        <v>0</v>
      </c>
      <c r="AP135" s="16" t="b">
        <f t="shared" si="9"/>
        <v>1</v>
      </c>
      <c r="AQ135" s="16" t="b">
        <f t="shared" si="10"/>
        <v>1</v>
      </c>
      <c r="AR135" s="60" t="str">
        <f t="shared" si="11"/>
        <v>OK</v>
      </c>
      <c r="AS135" s="60" t="str">
        <f>IF(table_data[[#This Row],[Flagged-Issues]] = 0, "", table_data[[#This Row],[Flagged-Issues]])</f>
        <v/>
      </c>
    </row>
    <row r="136" spans="1:45" x14ac:dyDescent="0.25">
      <c r="A136" t="s">
        <v>289</v>
      </c>
      <c r="B136" t="s">
        <v>121</v>
      </c>
      <c r="C136" t="s">
        <v>122</v>
      </c>
      <c r="D136" s="65">
        <v>202504010854</v>
      </c>
      <c r="E136" t="s">
        <v>290</v>
      </c>
      <c r="F136" t="s">
        <v>139</v>
      </c>
      <c r="G136" t="s">
        <v>211</v>
      </c>
      <c r="H136" t="s">
        <v>345</v>
      </c>
      <c r="I136" t="s">
        <v>126</v>
      </c>
      <c r="J136" t="s">
        <v>127</v>
      </c>
      <c r="K136" t="s">
        <v>128</v>
      </c>
      <c r="L136">
        <v>3</v>
      </c>
      <c r="M136" t="s">
        <v>241</v>
      </c>
      <c r="N136">
        <v>10</v>
      </c>
      <c r="O136">
        <v>4</v>
      </c>
      <c r="P136"/>
      <c r="Q136"/>
      <c r="R136"/>
      <c r="S136" s="72">
        <v>45748</v>
      </c>
      <c r="T136" s="72">
        <v>45748</v>
      </c>
      <c r="U136" s="72">
        <v>45748</v>
      </c>
      <c r="V136" s="72" t="s">
        <v>130</v>
      </c>
      <c r="W136" s="72">
        <v>45754</v>
      </c>
      <c r="X136" s="72" t="s">
        <v>130</v>
      </c>
      <c r="Y136" t="s">
        <v>146</v>
      </c>
      <c r="Z136" t="s">
        <v>147</v>
      </c>
      <c r="AA136" t="s">
        <v>131</v>
      </c>
      <c r="AB136" t="s">
        <v>132</v>
      </c>
      <c r="AC136" t="s">
        <v>131</v>
      </c>
      <c r="AD136" t="s">
        <v>131</v>
      </c>
      <c r="AE136" t="s">
        <v>131</v>
      </c>
      <c r="AF136" t="s">
        <v>131</v>
      </c>
      <c r="AG136" t="s">
        <v>131</v>
      </c>
      <c r="AH136" t="s">
        <v>131</v>
      </c>
      <c r="AI136" t="s">
        <v>132</v>
      </c>
      <c r="AJ136">
        <v>0</v>
      </c>
      <c r="AK136" t="s">
        <v>131</v>
      </c>
      <c r="AL136" t="s">
        <v>148</v>
      </c>
      <c r="AM136" s="16">
        <f>IF(OR(AC136="Yes",K136="Info Request", K136="Side-Project"),0,(NETWORKDAYS(T136,U136,Holidays!A$2:A$13))-1)</f>
        <v>0</v>
      </c>
      <c r="AN136" s="16">
        <f>IF(OR(AC136="Yes",K136="Info Request", K136="Side-Project"),0,(NETWORKDAYS(U136,W136,Holidays!A$2:A$13))-1)</f>
        <v>4</v>
      </c>
      <c r="AO136" s="16">
        <f>IF(OR(V136="none"),0,((NETWORKDAYS(S136,V136,Holidays!A$2:A$13))-1))</f>
        <v>0</v>
      </c>
      <c r="AP136" s="16" t="b">
        <f t="shared" si="9"/>
        <v>1</v>
      </c>
      <c r="AQ136" s="16" t="b">
        <f t="shared" si="10"/>
        <v>1</v>
      </c>
      <c r="AR136" s="60" t="str">
        <f t="shared" si="11"/>
        <v>OK</v>
      </c>
      <c r="AS136" s="60" t="str">
        <f>IF(table_data[[#This Row],[Flagged-Issues]] = 0, "", table_data[[#This Row],[Flagged-Issues]])</f>
        <v/>
      </c>
    </row>
    <row r="137" spans="1:45" x14ac:dyDescent="0.25">
      <c r="A137" t="s">
        <v>289</v>
      </c>
      <c r="B137" t="s">
        <v>154</v>
      </c>
      <c r="C137" t="s">
        <v>122</v>
      </c>
      <c r="D137" s="65">
        <v>202504090838</v>
      </c>
      <c r="E137" t="s">
        <v>290</v>
      </c>
      <c r="F137" t="s">
        <v>139</v>
      </c>
      <c r="G137"/>
      <c r="H137" t="s">
        <v>346</v>
      </c>
      <c r="I137" t="s">
        <v>126</v>
      </c>
      <c r="J137" t="s">
        <v>145</v>
      </c>
      <c r="K137" t="s">
        <v>128</v>
      </c>
      <c r="L137">
        <v>2</v>
      </c>
      <c r="M137" t="s">
        <v>187</v>
      </c>
      <c r="N137">
        <v>10</v>
      </c>
      <c r="O137">
        <v>4</v>
      </c>
      <c r="P137"/>
      <c r="Q137"/>
      <c r="R137"/>
      <c r="S137" s="72">
        <v>45756</v>
      </c>
      <c r="T137" s="72">
        <v>45756</v>
      </c>
      <c r="U137" s="72">
        <v>45756</v>
      </c>
      <c r="V137" s="72" t="s">
        <v>130</v>
      </c>
      <c r="W137" s="72">
        <v>45758</v>
      </c>
      <c r="X137" s="72" t="s">
        <v>130</v>
      </c>
      <c r="Y137" t="s">
        <v>146</v>
      </c>
      <c r="Z137" t="s">
        <v>147</v>
      </c>
      <c r="AA137" t="s">
        <v>131</v>
      </c>
      <c r="AB137" t="s">
        <v>131</v>
      </c>
      <c r="AC137" t="s">
        <v>131</v>
      </c>
      <c r="AD137" t="s">
        <v>131</v>
      </c>
      <c r="AE137" t="s">
        <v>131</v>
      </c>
      <c r="AF137" t="s">
        <v>131</v>
      </c>
      <c r="AG137" t="s">
        <v>131</v>
      </c>
      <c r="AH137" t="s">
        <v>131</v>
      </c>
      <c r="AI137" t="s">
        <v>132</v>
      </c>
      <c r="AJ137">
        <v>0</v>
      </c>
      <c r="AK137" t="s">
        <v>131</v>
      </c>
      <c r="AL137" t="s">
        <v>148</v>
      </c>
      <c r="AM137" s="16">
        <f>IF(OR(AC137="Yes",K137="Info Request", K137="Side-Project"),0,(NETWORKDAYS(T137,U137,Holidays!A$2:A$13))-1)</f>
        <v>0</v>
      </c>
      <c r="AN137" s="16">
        <f>IF(OR(AC137="Yes",K137="Info Request", K137="Side-Project"),0,(NETWORKDAYS(U137,W137,Holidays!A$2:A$13))-1)</f>
        <v>2</v>
      </c>
      <c r="AO137" s="16">
        <f>IF(OR(V137="none"),0,((NETWORKDAYS(S137,V137,Holidays!A$2:A$13))-1))</f>
        <v>0</v>
      </c>
      <c r="AP137" s="16" t="b">
        <f t="shared" si="9"/>
        <v>1</v>
      </c>
      <c r="AQ137" s="16" t="b">
        <f t="shared" si="10"/>
        <v>1</v>
      </c>
      <c r="AR137" s="60" t="str">
        <f t="shared" si="11"/>
        <v>OK</v>
      </c>
      <c r="AS137" s="60" t="str">
        <f>IF(table_data[[#This Row],[Flagged-Issues]] = 0, "", table_data[[#This Row],[Flagged-Issues]])</f>
        <v/>
      </c>
    </row>
    <row r="138" spans="1:45" x14ac:dyDescent="0.25">
      <c r="A138" t="s">
        <v>29</v>
      </c>
      <c r="B138" t="s">
        <v>154</v>
      </c>
      <c r="C138" t="s">
        <v>122</v>
      </c>
      <c r="D138" s="65">
        <v>202504070818</v>
      </c>
      <c r="E138" t="s">
        <v>347</v>
      </c>
      <c r="F138" t="s">
        <v>173</v>
      </c>
      <c r="G138"/>
      <c r="H138" t="s">
        <v>348</v>
      </c>
      <c r="I138" t="s">
        <v>126</v>
      </c>
      <c r="J138" t="s">
        <v>151</v>
      </c>
      <c r="K138" t="s">
        <v>128</v>
      </c>
      <c r="L138">
        <v>2</v>
      </c>
      <c r="M138" t="s">
        <v>177</v>
      </c>
      <c r="N138">
        <v>2</v>
      </c>
      <c r="O138"/>
      <c r="P138"/>
      <c r="Q138"/>
      <c r="R138"/>
      <c r="S138" s="72">
        <v>45754</v>
      </c>
      <c r="T138" s="72">
        <v>45754</v>
      </c>
      <c r="U138" s="72">
        <v>45754</v>
      </c>
      <c r="V138" s="72" t="s">
        <v>130</v>
      </c>
      <c r="W138" s="72">
        <v>45757</v>
      </c>
      <c r="X138" s="72" t="s">
        <v>130</v>
      </c>
      <c r="Y138" t="s">
        <v>146</v>
      </c>
      <c r="Z138" t="s">
        <v>147</v>
      </c>
      <c r="AA138" t="s">
        <v>131</v>
      </c>
      <c r="AB138" t="s">
        <v>131</v>
      </c>
      <c r="AC138" t="s">
        <v>131</v>
      </c>
      <c r="AD138" t="s">
        <v>132</v>
      </c>
      <c r="AE138" t="s">
        <v>131</v>
      </c>
      <c r="AF138" t="s">
        <v>131</v>
      </c>
      <c r="AG138" t="s">
        <v>131</v>
      </c>
      <c r="AH138" t="s">
        <v>131</v>
      </c>
      <c r="AI138" t="s">
        <v>132</v>
      </c>
      <c r="AJ138">
        <v>0</v>
      </c>
      <c r="AK138" t="s">
        <v>131</v>
      </c>
      <c r="AL138" t="s">
        <v>148</v>
      </c>
      <c r="AM138" s="16">
        <f>IF(OR(AC138="Yes",K138="Info Request", K138="Side-Project"),0,(NETWORKDAYS(T138,U138,Holidays!A$2:A$13))-1)</f>
        <v>0</v>
      </c>
      <c r="AN138" s="16">
        <f>IF(OR(AC138="Yes",K138="Info Request", K138="Side-Project"),0,(NETWORKDAYS(U138,W138,Holidays!A$2:A$13))-1)</f>
        <v>3</v>
      </c>
      <c r="AO138" s="16">
        <f>IF(OR(V138="none"),0,((NETWORKDAYS(S138,V138,Holidays!A$2:A$13))-1))</f>
        <v>0</v>
      </c>
      <c r="AP138" s="16" t="b">
        <f t="shared" si="9"/>
        <v>1</v>
      </c>
      <c r="AQ138" s="16" t="b">
        <f t="shared" si="10"/>
        <v>1</v>
      </c>
      <c r="AR138" s="60" t="str">
        <f t="shared" si="11"/>
        <v>OK</v>
      </c>
      <c r="AS138" s="60" t="str">
        <f>IF(table_data[[#This Row],[Flagged-Issues]] = 0, "", table_data[[#This Row],[Flagged-Issues]])</f>
        <v/>
      </c>
    </row>
    <row r="139" spans="1:45" x14ac:dyDescent="0.25">
      <c r="A139" t="s">
        <v>104</v>
      </c>
      <c r="B139" t="s">
        <v>154</v>
      </c>
      <c r="C139" t="s">
        <v>122</v>
      </c>
      <c r="D139" s="65">
        <v>202504091513</v>
      </c>
      <c r="E139" t="s">
        <v>233</v>
      </c>
      <c r="F139" t="s">
        <v>134</v>
      </c>
      <c r="G139"/>
      <c r="H139" t="s">
        <v>349</v>
      </c>
      <c r="I139" t="s">
        <v>126</v>
      </c>
      <c r="J139" t="s">
        <v>136</v>
      </c>
      <c r="K139" t="s">
        <v>128</v>
      </c>
      <c r="L139">
        <v>2</v>
      </c>
      <c r="M139" t="s">
        <v>141</v>
      </c>
      <c r="N139">
        <v>1</v>
      </c>
      <c r="O139"/>
      <c r="P139"/>
      <c r="Q139"/>
      <c r="R139"/>
      <c r="S139" s="72">
        <v>45756</v>
      </c>
      <c r="T139" s="72">
        <v>45756</v>
      </c>
      <c r="U139" s="72">
        <v>45756</v>
      </c>
      <c r="V139" s="72" t="s">
        <v>130</v>
      </c>
      <c r="W139" s="72">
        <v>45756</v>
      </c>
      <c r="X139" s="72" t="s">
        <v>130</v>
      </c>
      <c r="Y139"/>
      <c r="Z139"/>
      <c r="AA139" t="s">
        <v>131</v>
      </c>
      <c r="AB139" t="s">
        <v>131</v>
      </c>
      <c r="AC139" t="s">
        <v>131</v>
      </c>
      <c r="AD139" t="s">
        <v>131</v>
      </c>
      <c r="AE139" t="s">
        <v>131</v>
      </c>
      <c r="AF139" t="s">
        <v>131</v>
      </c>
      <c r="AG139" t="s">
        <v>131</v>
      </c>
      <c r="AH139" t="s">
        <v>131</v>
      </c>
      <c r="AI139" t="s">
        <v>131</v>
      </c>
      <c r="AJ139">
        <v>0</v>
      </c>
      <c r="AK139" t="s">
        <v>131</v>
      </c>
      <c r="AL139" t="s">
        <v>132</v>
      </c>
      <c r="AM139" s="16">
        <f>IF(OR(AC139="Yes",K139="Info Request", K139="Side-Project"),0,(NETWORKDAYS(T139,U139,Holidays!A$2:A$13))-1)</f>
        <v>0</v>
      </c>
      <c r="AN139" s="16">
        <f>IF(OR(AC139="Yes",K139="Info Request", K139="Side-Project"),0,(NETWORKDAYS(U139,W139,Holidays!A$2:A$13))-1)</f>
        <v>0</v>
      </c>
      <c r="AO139" s="16">
        <f>IF(OR(V139="none"),0,((NETWORKDAYS(S139,V139,Holidays!A$2:A$13))-1))</f>
        <v>0</v>
      </c>
      <c r="AP139" s="16" t="b">
        <f t="shared" si="9"/>
        <v>1</v>
      </c>
      <c r="AQ139" s="16" t="b">
        <f t="shared" si="10"/>
        <v>1</v>
      </c>
      <c r="AR139" s="60" t="str">
        <f t="shared" si="11"/>
        <v>OK</v>
      </c>
      <c r="AS139" s="60" t="str">
        <f>IF(table_data[[#This Row],[Flagged-Issues]] = 0, "", table_data[[#This Row],[Flagged-Issues]])</f>
        <v/>
      </c>
    </row>
    <row r="140" spans="1:45" x14ac:dyDescent="0.25">
      <c r="A140" t="s">
        <v>29</v>
      </c>
      <c r="B140" t="s">
        <v>154</v>
      </c>
      <c r="C140" t="s">
        <v>122</v>
      </c>
      <c r="D140" s="65">
        <v>202504091527</v>
      </c>
      <c r="E140" t="s">
        <v>350</v>
      </c>
      <c r="F140" t="s">
        <v>139</v>
      </c>
      <c r="G140"/>
      <c r="H140" t="s">
        <v>351</v>
      </c>
      <c r="I140" t="s">
        <v>126</v>
      </c>
      <c r="J140" t="s">
        <v>127</v>
      </c>
      <c r="K140" t="s">
        <v>128</v>
      </c>
      <c r="L140">
        <v>2</v>
      </c>
      <c r="M140" t="s">
        <v>129</v>
      </c>
      <c r="N140">
        <v>4</v>
      </c>
      <c r="O140"/>
      <c r="P140"/>
      <c r="Q140">
        <v>1</v>
      </c>
      <c r="R140"/>
      <c r="S140" s="72">
        <v>45756</v>
      </c>
      <c r="T140" s="72">
        <v>45757</v>
      </c>
      <c r="U140" s="72">
        <v>45757</v>
      </c>
      <c r="V140" s="72" t="s">
        <v>130</v>
      </c>
      <c r="W140" s="72">
        <v>45757</v>
      </c>
      <c r="X140" s="72" t="s">
        <v>130</v>
      </c>
      <c r="Y140"/>
      <c r="Z140"/>
      <c r="AA140" t="s">
        <v>131</v>
      </c>
      <c r="AB140" t="s">
        <v>131</v>
      </c>
      <c r="AC140" t="s">
        <v>131</v>
      </c>
      <c r="AD140" t="s">
        <v>131</v>
      </c>
      <c r="AE140" t="s">
        <v>131</v>
      </c>
      <c r="AF140" t="s">
        <v>131</v>
      </c>
      <c r="AG140" t="s">
        <v>131</v>
      </c>
      <c r="AH140" t="s">
        <v>131</v>
      </c>
      <c r="AI140" t="s">
        <v>131</v>
      </c>
      <c r="AJ140">
        <v>0</v>
      </c>
      <c r="AK140" t="s">
        <v>131</v>
      </c>
      <c r="AL140" t="s">
        <v>132</v>
      </c>
      <c r="AM140" s="16">
        <f>IF(OR(AC140="Yes",K140="Info Request", K140="Side-Project"),0,(NETWORKDAYS(T140,U140,Holidays!A$2:A$13))-1)</f>
        <v>0</v>
      </c>
      <c r="AN140" s="16">
        <f>IF(OR(AC140="Yes",K140="Info Request", K140="Side-Project"),0,(NETWORKDAYS(U140,W140,Holidays!A$2:A$13))-1)</f>
        <v>0</v>
      </c>
      <c r="AO140" s="16">
        <f>IF(OR(V140="none"),0,((NETWORKDAYS(S140,V140,Holidays!A$2:A$13))-1))</f>
        <v>0</v>
      </c>
      <c r="AP140" s="16" t="b">
        <f t="shared" si="9"/>
        <v>1</v>
      </c>
      <c r="AQ140" s="16" t="b">
        <f t="shared" si="10"/>
        <v>1</v>
      </c>
      <c r="AR140" s="60" t="str">
        <f t="shared" si="11"/>
        <v>OK</v>
      </c>
      <c r="AS140" s="60" t="str">
        <f>IF(table_data[[#This Row],[Flagged-Issues]] = 0, "", table_data[[#This Row],[Flagged-Issues]])</f>
        <v/>
      </c>
    </row>
    <row r="141" spans="1:45" x14ac:dyDescent="0.25">
      <c r="A141" t="s">
        <v>29</v>
      </c>
      <c r="B141" t="s">
        <v>154</v>
      </c>
      <c r="C141" t="s">
        <v>122</v>
      </c>
      <c r="D141" s="65">
        <v>202504041054</v>
      </c>
      <c r="E141" t="s">
        <v>257</v>
      </c>
      <c r="F141" t="s">
        <v>173</v>
      </c>
      <c r="G141"/>
      <c r="H141" t="s">
        <v>352</v>
      </c>
      <c r="I141" t="s">
        <v>126</v>
      </c>
      <c r="J141" t="s">
        <v>136</v>
      </c>
      <c r="K141" t="s">
        <v>128</v>
      </c>
      <c r="L141">
        <v>2</v>
      </c>
      <c r="M141" t="s">
        <v>137</v>
      </c>
      <c r="N141">
        <v>2</v>
      </c>
      <c r="O141"/>
      <c r="P141"/>
      <c r="Q141">
        <v>2</v>
      </c>
      <c r="R141"/>
      <c r="S141" s="72">
        <v>45751</v>
      </c>
      <c r="T141" s="72">
        <v>45757</v>
      </c>
      <c r="U141" s="72">
        <v>45757</v>
      </c>
      <c r="V141" s="72" t="s">
        <v>130</v>
      </c>
      <c r="W141" s="72">
        <v>45758</v>
      </c>
      <c r="X141" s="72" t="s">
        <v>130</v>
      </c>
      <c r="Y141"/>
      <c r="Z141"/>
      <c r="AA141" t="s">
        <v>131</v>
      </c>
      <c r="AB141" t="s">
        <v>131</v>
      </c>
      <c r="AC141" t="s">
        <v>131</v>
      </c>
      <c r="AD141" t="s">
        <v>131</v>
      </c>
      <c r="AE141" t="s">
        <v>131</v>
      </c>
      <c r="AF141" t="s">
        <v>131</v>
      </c>
      <c r="AG141" t="s">
        <v>131</v>
      </c>
      <c r="AH141" t="s">
        <v>131</v>
      </c>
      <c r="AI141" t="s">
        <v>131</v>
      </c>
      <c r="AJ141">
        <v>0</v>
      </c>
      <c r="AK141" t="s">
        <v>131</v>
      </c>
      <c r="AL141" t="s">
        <v>132</v>
      </c>
      <c r="AM141" s="16">
        <f>IF(OR(AC141="Yes",K141="Info Request", K141="Side-Project"),0,(NETWORKDAYS(T141,U141,Holidays!A$2:A$13))-1)</f>
        <v>0</v>
      </c>
      <c r="AN141" s="16">
        <f>IF(OR(AC141="Yes",K141="Info Request", K141="Side-Project"),0,(NETWORKDAYS(U141,W141,Holidays!A$2:A$13))-1)</f>
        <v>1</v>
      </c>
      <c r="AO141" s="16">
        <f>IF(OR(V141="none"),0,((NETWORKDAYS(S141,V141,Holidays!A$2:A$13))-1))</f>
        <v>0</v>
      </c>
      <c r="AP141" s="16" t="b">
        <f t="shared" si="9"/>
        <v>1</v>
      </c>
      <c r="AQ141" s="16" t="b">
        <f t="shared" si="10"/>
        <v>1</v>
      </c>
      <c r="AR141" s="60" t="str">
        <f t="shared" si="11"/>
        <v>OK</v>
      </c>
      <c r="AS141" s="60" t="str">
        <f>IF(table_data[[#This Row],[Flagged-Issues]] = 0, "", table_data[[#This Row],[Flagged-Issues]])</f>
        <v/>
      </c>
    </row>
    <row r="142" spans="1:45" x14ac:dyDescent="0.25">
      <c r="A142" t="s">
        <v>29</v>
      </c>
      <c r="B142" t="s">
        <v>154</v>
      </c>
      <c r="C142" t="s">
        <v>122</v>
      </c>
      <c r="D142" s="65">
        <v>202504101436</v>
      </c>
      <c r="E142" t="s">
        <v>347</v>
      </c>
      <c r="F142" t="s">
        <v>173</v>
      </c>
      <c r="G142"/>
      <c r="H142" t="s">
        <v>353</v>
      </c>
      <c r="I142" t="s">
        <v>126</v>
      </c>
      <c r="J142" t="s">
        <v>136</v>
      </c>
      <c r="K142" t="s">
        <v>128</v>
      </c>
      <c r="L142">
        <v>2</v>
      </c>
      <c r="M142" t="s">
        <v>137</v>
      </c>
      <c r="N142">
        <v>2</v>
      </c>
      <c r="O142"/>
      <c r="P142"/>
      <c r="Q142"/>
      <c r="R142"/>
      <c r="S142" s="72">
        <v>45757</v>
      </c>
      <c r="T142" s="72">
        <v>45758</v>
      </c>
      <c r="U142" s="72">
        <v>45758</v>
      </c>
      <c r="V142" s="72" t="s">
        <v>130</v>
      </c>
      <c r="W142" s="72">
        <v>45758</v>
      </c>
      <c r="X142" s="72" t="s">
        <v>130</v>
      </c>
      <c r="Y142"/>
      <c r="Z142"/>
      <c r="AA142" t="s">
        <v>131</v>
      </c>
      <c r="AB142" t="s">
        <v>131</v>
      </c>
      <c r="AC142" t="s">
        <v>131</v>
      </c>
      <c r="AD142" t="s">
        <v>132</v>
      </c>
      <c r="AE142" t="s">
        <v>131</v>
      </c>
      <c r="AF142" t="s">
        <v>131</v>
      </c>
      <c r="AG142" t="s">
        <v>131</v>
      </c>
      <c r="AH142" t="s">
        <v>131</v>
      </c>
      <c r="AI142" t="s">
        <v>131</v>
      </c>
      <c r="AJ142">
        <v>2</v>
      </c>
      <c r="AK142" t="s">
        <v>131</v>
      </c>
      <c r="AL142" t="s">
        <v>132</v>
      </c>
      <c r="AM142" s="16">
        <f>IF(OR(AC142="Yes",K142="Info Request", K142="Side-Project"),0,(NETWORKDAYS(T142,U142,Holidays!A$2:A$13))-1)</f>
        <v>0</v>
      </c>
      <c r="AN142" s="16">
        <f>IF(OR(AC142="Yes",K142="Info Request", K142="Side-Project"),0,(NETWORKDAYS(U142,W142,Holidays!A$2:A$13))-1)</f>
        <v>0</v>
      </c>
      <c r="AO142" s="16">
        <f>IF(OR(V142="none"),0,((NETWORKDAYS(S142,V142,Holidays!A$2:A$13))-1))</f>
        <v>0</v>
      </c>
      <c r="AP142" s="16" t="b">
        <f t="shared" si="9"/>
        <v>1</v>
      </c>
      <c r="AQ142" s="16" t="b">
        <f t="shared" si="10"/>
        <v>1</v>
      </c>
      <c r="AR142" s="60" t="str">
        <f t="shared" si="11"/>
        <v>OK</v>
      </c>
      <c r="AS142" s="60">
        <f>IF(table_data[[#This Row],[Flagged-Issues]] = 0, "", table_data[[#This Row],[Flagged-Issues]])</f>
        <v>2</v>
      </c>
    </row>
    <row r="143" spans="1:45" x14ac:dyDescent="0.25">
      <c r="A143" t="s">
        <v>29</v>
      </c>
      <c r="B143" t="s">
        <v>154</v>
      </c>
      <c r="C143" t="s">
        <v>122</v>
      </c>
      <c r="D143" s="65">
        <v>202504091051</v>
      </c>
      <c r="E143" t="s">
        <v>223</v>
      </c>
      <c r="F143" t="s">
        <v>173</v>
      </c>
      <c r="G143"/>
      <c r="H143" t="s">
        <v>354</v>
      </c>
      <c r="I143" t="s">
        <v>126</v>
      </c>
      <c r="J143" t="s">
        <v>206</v>
      </c>
      <c r="K143" t="s">
        <v>128</v>
      </c>
      <c r="L143">
        <v>2</v>
      </c>
      <c r="M143" t="s">
        <v>143</v>
      </c>
      <c r="N143">
        <v>2</v>
      </c>
      <c r="O143"/>
      <c r="P143"/>
      <c r="Q143">
        <v>2</v>
      </c>
      <c r="R143"/>
      <c r="S143" s="72">
        <v>45756</v>
      </c>
      <c r="T143" s="72">
        <v>45758</v>
      </c>
      <c r="U143" s="72">
        <v>45758</v>
      </c>
      <c r="V143" s="72" t="s">
        <v>130</v>
      </c>
      <c r="W143" s="72">
        <v>45758</v>
      </c>
      <c r="X143" s="72" t="s">
        <v>130</v>
      </c>
      <c r="Y143"/>
      <c r="Z143"/>
      <c r="AA143" t="s">
        <v>131</v>
      </c>
      <c r="AB143" t="s">
        <v>131</v>
      </c>
      <c r="AC143" t="s">
        <v>131</v>
      </c>
      <c r="AD143" t="s">
        <v>131</v>
      </c>
      <c r="AE143" t="s">
        <v>131</v>
      </c>
      <c r="AF143" t="s">
        <v>131</v>
      </c>
      <c r="AG143" t="s">
        <v>131</v>
      </c>
      <c r="AH143" t="s">
        <v>131</v>
      </c>
      <c r="AI143" t="s">
        <v>131</v>
      </c>
      <c r="AJ143">
        <v>0</v>
      </c>
      <c r="AK143" t="s">
        <v>131</v>
      </c>
      <c r="AL143" t="s">
        <v>132</v>
      </c>
      <c r="AM143" s="16">
        <f>IF(OR(AC143="Yes",K143="Info Request", K143="Side-Project"),0,(NETWORKDAYS(T143,U143,Holidays!A$2:A$13))-1)</f>
        <v>0</v>
      </c>
      <c r="AN143" s="16">
        <f>IF(OR(AC143="Yes",K143="Info Request", K143="Side-Project"),0,(NETWORKDAYS(U143,W143,Holidays!A$2:A$13))-1)</f>
        <v>0</v>
      </c>
      <c r="AO143" s="16">
        <f>IF(OR(V143="none"),0,((NETWORKDAYS(S143,V143,Holidays!A$2:A$13))-1))</f>
        <v>0</v>
      </c>
      <c r="AP143" s="16" t="b">
        <f t="shared" si="9"/>
        <v>1</v>
      </c>
      <c r="AQ143" s="16" t="b">
        <f t="shared" si="10"/>
        <v>1</v>
      </c>
      <c r="AR143" s="60" t="str">
        <f t="shared" si="11"/>
        <v>OK</v>
      </c>
      <c r="AS143" s="60" t="str">
        <f>IF(table_data[[#This Row],[Flagged-Issues]] = 0, "", table_data[[#This Row],[Flagged-Issues]])</f>
        <v/>
      </c>
    </row>
    <row r="144" spans="1:45" x14ac:dyDescent="0.25">
      <c r="A144" t="s">
        <v>29</v>
      </c>
      <c r="B144" t="s">
        <v>154</v>
      </c>
      <c r="C144" t="s">
        <v>122</v>
      </c>
      <c r="D144" s="65">
        <v>202504081059</v>
      </c>
      <c r="E144" t="s">
        <v>223</v>
      </c>
      <c r="F144" t="s">
        <v>173</v>
      </c>
      <c r="G144"/>
      <c r="H144" t="s">
        <v>355</v>
      </c>
      <c r="I144" t="s">
        <v>126</v>
      </c>
      <c r="J144" t="s">
        <v>136</v>
      </c>
      <c r="K144" t="s">
        <v>128</v>
      </c>
      <c r="L144">
        <v>2</v>
      </c>
      <c r="M144" t="s">
        <v>143</v>
      </c>
      <c r="N144">
        <v>2</v>
      </c>
      <c r="O144"/>
      <c r="P144"/>
      <c r="Q144">
        <v>4</v>
      </c>
      <c r="R144"/>
      <c r="S144" s="72">
        <v>45755</v>
      </c>
      <c r="T144" s="72">
        <v>45757</v>
      </c>
      <c r="U144" s="72">
        <v>45757</v>
      </c>
      <c r="V144" s="72" t="s">
        <v>130</v>
      </c>
      <c r="W144" s="72">
        <v>45757</v>
      </c>
      <c r="X144" s="72" t="s">
        <v>130</v>
      </c>
      <c r="Y144"/>
      <c r="Z144"/>
      <c r="AA144" t="s">
        <v>131</v>
      </c>
      <c r="AB144" t="s">
        <v>131</v>
      </c>
      <c r="AC144" t="s">
        <v>131</v>
      </c>
      <c r="AD144" t="s">
        <v>131</v>
      </c>
      <c r="AE144" t="s">
        <v>131</v>
      </c>
      <c r="AF144" t="s">
        <v>131</v>
      </c>
      <c r="AG144" t="s">
        <v>131</v>
      </c>
      <c r="AH144" t="s">
        <v>131</v>
      </c>
      <c r="AI144" t="s">
        <v>131</v>
      </c>
      <c r="AJ144">
        <v>0</v>
      </c>
      <c r="AK144" t="s">
        <v>131</v>
      </c>
      <c r="AL144" t="s">
        <v>132</v>
      </c>
      <c r="AM144" s="16">
        <f>IF(OR(AC144="Yes",K144="Info Request", K144="Side-Project"),0,(NETWORKDAYS(T144,U144,Holidays!A$2:A$13))-1)</f>
        <v>0</v>
      </c>
      <c r="AN144" s="16">
        <f>IF(OR(AC144="Yes",K144="Info Request", K144="Side-Project"),0,(NETWORKDAYS(U144,W144,Holidays!A$2:A$13))-1)</f>
        <v>0</v>
      </c>
      <c r="AO144" s="16">
        <f>IF(OR(V144="none"),0,((NETWORKDAYS(S144,V144,Holidays!A$2:A$13))-1))</f>
        <v>0</v>
      </c>
      <c r="AP144" s="16" t="b">
        <f t="shared" si="9"/>
        <v>1</v>
      </c>
      <c r="AQ144" s="16" t="b">
        <f t="shared" si="10"/>
        <v>1</v>
      </c>
      <c r="AR144" s="60" t="str">
        <f t="shared" si="11"/>
        <v>OK</v>
      </c>
      <c r="AS144" s="60" t="str">
        <f>IF(table_data[[#This Row],[Flagged-Issues]] = 0, "", table_data[[#This Row],[Flagged-Issues]])</f>
        <v/>
      </c>
    </row>
    <row r="145" spans="1:45" x14ac:dyDescent="0.25">
      <c r="A145" t="s">
        <v>29</v>
      </c>
      <c r="B145" t="s">
        <v>154</v>
      </c>
      <c r="C145" t="s">
        <v>122</v>
      </c>
      <c r="D145" s="65">
        <v>202504090952</v>
      </c>
      <c r="E145" t="s">
        <v>215</v>
      </c>
      <c r="F145" t="s">
        <v>173</v>
      </c>
      <c r="G145"/>
      <c r="H145" t="s">
        <v>356</v>
      </c>
      <c r="I145" t="s">
        <v>126</v>
      </c>
      <c r="J145" t="s">
        <v>151</v>
      </c>
      <c r="K145" t="s">
        <v>128</v>
      </c>
      <c r="L145">
        <v>2</v>
      </c>
      <c r="M145" t="s">
        <v>141</v>
      </c>
      <c r="N145">
        <v>2</v>
      </c>
      <c r="O145"/>
      <c r="P145"/>
      <c r="Q145"/>
      <c r="R145"/>
      <c r="S145" s="72">
        <v>45756</v>
      </c>
      <c r="T145" s="72">
        <v>45757</v>
      </c>
      <c r="U145" s="72">
        <v>45757</v>
      </c>
      <c r="V145" s="72" t="s">
        <v>130</v>
      </c>
      <c r="W145" s="72">
        <v>45757</v>
      </c>
      <c r="X145" s="72" t="s">
        <v>130</v>
      </c>
      <c r="Y145" t="s">
        <v>146</v>
      </c>
      <c r="Z145" t="s">
        <v>147</v>
      </c>
      <c r="AA145" t="s">
        <v>131</v>
      </c>
      <c r="AB145" t="s">
        <v>131</v>
      </c>
      <c r="AC145" t="s">
        <v>131</v>
      </c>
      <c r="AD145" t="s">
        <v>131</v>
      </c>
      <c r="AE145" t="s">
        <v>131</v>
      </c>
      <c r="AF145" t="s">
        <v>131</v>
      </c>
      <c r="AG145" t="s">
        <v>131</v>
      </c>
      <c r="AH145" t="s">
        <v>131</v>
      </c>
      <c r="AI145" t="s">
        <v>131</v>
      </c>
      <c r="AJ145">
        <v>0</v>
      </c>
      <c r="AK145" t="s">
        <v>131</v>
      </c>
      <c r="AL145" t="s">
        <v>148</v>
      </c>
      <c r="AM145" s="16">
        <f>IF(OR(AC145="Yes",K145="Info Request", K145="Side-Project"),0,(NETWORKDAYS(T145,U145,Holidays!A$2:A$13))-1)</f>
        <v>0</v>
      </c>
      <c r="AN145" s="16">
        <f>IF(OR(AC145="Yes",K145="Info Request", K145="Side-Project"),0,(NETWORKDAYS(U145,W145,Holidays!A$2:A$13))-1)</f>
        <v>0</v>
      </c>
      <c r="AO145" s="16">
        <f>IF(OR(V145="none"),0,((NETWORKDAYS(S145,V145,Holidays!A$2:A$13))-1))</f>
        <v>0</v>
      </c>
      <c r="AP145" s="16" t="b">
        <f t="shared" si="9"/>
        <v>1</v>
      </c>
      <c r="AQ145" s="16" t="b">
        <f t="shared" si="10"/>
        <v>1</v>
      </c>
      <c r="AR145" s="60" t="str">
        <f t="shared" si="11"/>
        <v>OK</v>
      </c>
      <c r="AS145" s="60" t="str">
        <f>IF(table_data[[#This Row],[Flagged-Issues]] = 0, "", table_data[[#This Row],[Flagged-Issues]])</f>
        <v/>
      </c>
    </row>
    <row r="146" spans="1:45" x14ac:dyDescent="0.25">
      <c r="A146" t="s">
        <v>29</v>
      </c>
      <c r="B146" t="s">
        <v>154</v>
      </c>
      <c r="C146" t="s">
        <v>122</v>
      </c>
      <c r="D146" s="65">
        <v>202504101115</v>
      </c>
      <c r="E146" t="s">
        <v>223</v>
      </c>
      <c r="F146" t="s">
        <v>173</v>
      </c>
      <c r="G146"/>
      <c r="H146" t="s">
        <v>357</v>
      </c>
      <c r="I146" t="s">
        <v>126</v>
      </c>
      <c r="J146" t="s">
        <v>136</v>
      </c>
      <c r="K146" t="s">
        <v>128</v>
      </c>
      <c r="L146">
        <v>2</v>
      </c>
      <c r="M146" t="s">
        <v>129</v>
      </c>
      <c r="N146">
        <v>2</v>
      </c>
      <c r="O146"/>
      <c r="P146"/>
      <c r="Q146"/>
      <c r="R146"/>
      <c r="S146" s="72">
        <v>45757</v>
      </c>
      <c r="T146" s="72">
        <v>45758</v>
      </c>
      <c r="U146" s="72">
        <v>45758</v>
      </c>
      <c r="V146" s="72" t="s">
        <v>130</v>
      </c>
      <c r="W146" s="72">
        <v>45761</v>
      </c>
      <c r="X146" s="72" t="s">
        <v>130</v>
      </c>
      <c r="Y146"/>
      <c r="Z146"/>
      <c r="AA146" t="s">
        <v>131</v>
      </c>
      <c r="AB146" t="s">
        <v>131</v>
      </c>
      <c r="AC146" t="s">
        <v>131</v>
      </c>
      <c r="AD146" t="s">
        <v>131</v>
      </c>
      <c r="AE146" t="s">
        <v>131</v>
      </c>
      <c r="AF146" t="s">
        <v>131</v>
      </c>
      <c r="AG146" t="s">
        <v>131</v>
      </c>
      <c r="AH146" t="s">
        <v>131</v>
      </c>
      <c r="AI146" t="s">
        <v>131</v>
      </c>
      <c r="AJ146">
        <v>0</v>
      </c>
      <c r="AK146" t="s">
        <v>131</v>
      </c>
      <c r="AL146" t="s">
        <v>132</v>
      </c>
      <c r="AM146" s="16">
        <f>IF(OR(AC146="Yes",K146="Info Request", K146="Side-Project"),0,(NETWORKDAYS(T146,U146,Holidays!A$2:A$13))-1)</f>
        <v>0</v>
      </c>
      <c r="AN146" s="16">
        <f>IF(OR(AC146="Yes",K146="Info Request", K146="Side-Project"),0,(NETWORKDAYS(U146,W146,Holidays!A$2:A$13))-1)</f>
        <v>1</v>
      </c>
      <c r="AO146" s="16">
        <f>IF(OR(V146="none"),0,((NETWORKDAYS(S146,V146,Holidays!A$2:A$13))-1))</f>
        <v>0</v>
      </c>
      <c r="AP146" s="16" t="b">
        <f t="shared" si="9"/>
        <v>1</v>
      </c>
      <c r="AQ146" s="16" t="b">
        <f t="shared" si="10"/>
        <v>1</v>
      </c>
      <c r="AR146" s="60" t="str">
        <f t="shared" si="11"/>
        <v>OK</v>
      </c>
      <c r="AS146" s="60" t="str">
        <f>IF(table_data[[#This Row],[Flagged-Issues]] = 0, "", table_data[[#This Row],[Flagged-Issues]])</f>
        <v/>
      </c>
    </row>
    <row r="147" spans="1:45" x14ac:dyDescent="0.25">
      <c r="A147" t="s">
        <v>29</v>
      </c>
      <c r="B147" t="s">
        <v>154</v>
      </c>
      <c r="C147" t="s">
        <v>122</v>
      </c>
      <c r="D147" s="65">
        <v>202504091100</v>
      </c>
      <c r="E147" t="s">
        <v>223</v>
      </c>
      <c r="F147" t="s">
        <v>173</v>
      </c>
      <c r="G147"/>
      <c r="H147" t="s">
        <v>358</v>
      </c>
      <c r="I147" t="s">
        <v>126</v>
      </c>
      <c r="J147" t="s">
        <v>206</v>
      </c>
      <c r="K147" t="s">
        <v>128</v>
      </c>
      <c r="L147">
        <v>2</v>
      </c>
      <c r="M147" t="s">
        <v>129</v>
      </c>
      <c r="N147">
        <v>2</v>
      </c>
      <c r="O147"/>
      <c r="P147"/>
      <c r="Q147"/>
      <c r="R147"/>
      <c r="S147" s="72">
        <v>45756</v>
      </c>
      <c r="T147" s="72">
        <v>45758</v>
      </c>
      <c r="U147" s="72">
        <v>45758</v>
      </c>
      <c r="V147" s="72" t="s">
        <v>130</v>
      </c>
      <c r="W147" s="72">
        <v>45758</v>
      </c>
      <c r="X147" s="72" t="s">
        <v>130</v>
      </c>
      <c r="Y147"/>
      <c r="Z147"/>
      <c r="AA147" t="s">
        <v>131</v>
      </c>
      <c r="AB147" t="s">
        <v>131</v>
      </c>
      <c r="AC147" t="s">
        <v>131</v>
      </c>
      <c r="AD147" t="s">
        <v>131</v>
      </c>
      <c r="AE147" t="s">
        <v>131</v>
      </c>
      <c r="AF147" t="s">
        <v>131</v>
      </c>
      <c r="AG147" t="s">
        <v>131</v>
      </c>
      <c r="AH147" t="s">
        <v>131</v>
      </c>
      <c r="AI147" t="s">
        <v>131</v>
      </c>
      <c r="AJ147">
        <v>0</v>
      </c>
      <c r="AK147" t="s">
        <v>131</v>
      </c>
      <c r="AL147" t="s">
        <v>132</v>
      </c>
      <c r="AM147" s="16">
        <f>IF(OR(AC147="Yes",K147="Info Request", K147="Side-Project"),0,(NETWORKDAYS(T147,U147,Holidays!A$2:A$13))-1)</f>
        <v>0</v>
      </c>
      <c r="AN147" s="16">
        <f>IF(OR(AC147="Yes",K147="Info Request", K147="Side-Project"),0,(NETWORKDAYS(U147,W147,Holidays!A$2:A$13))-1)</f>
        <v>0</v>
      </c>
      <c r="AO147" s="16">
        <f>IF(OR(V147="none"),0,((NETWORKDAYS(S147,V147,Holidays!A$2:A$13))-1))</f>
        <v>0</v>
      </c>
      <c r="AP147" s="16" t="b">
        <f t="shared" si="9"/>
        <v>1</v>
      </c>
      <c r="AQ147" s="16" t="b">
        <f t="shared" si="10"/>
        <v>1</v>
      </c>
      <c r="AR147" s="60" t="str">
        <f t="shared" si="11"/>
        <v>OK</v>
      </c>
      <c r="AS147" s="60" t="str">
        <f>IF(table_data[[#This Row],[Flagged-Issues]] = 0, "", table_data[[#This Row],[Flagged-Issues]])</f>
        <v/>
      </c>
    </row>
    <row r="148" spans="1:45" x14ac:dyDescent="0.25">
      <c r="A148" t="s">
        <v>29</v>
      </c>
      <c r="B148" t="s">
        <v>154</v>
      </c>
      <c r="C148" t="s">
        <v>122</v>
      </c>
      <c r="D148" s="65">
        <v>202504091332</v>
      </c>
      <c r="E148" t="s">
        <v>223</v>
      </c>
      <c r="F148" t="s">
        <v>173</v>
      </c>
      <c r="G148"/>
      <c r="H148" t="s">
        <v>359</v>
      </c>
      <c r="I148" t="s">
        <v>126</v>
      </c>
      <c r="J148" t="s">
        <v>136</v>
      </c>
      <c r="K148" t="s">
        <v>128</v>
      </c>
      <c r="L148">
        <v>2</v>
      </c>
      <c r="M148" t="s">
        <v>143</v>
      </c>
      <c r="N148">
        <v>2</v>
      </c>
      <c r="O148"/>
      <c r="P148"/>
      <c r="Q148">
        <v>2</v>
      </c>
      <c r="R148">
        <v>2</v>
      </c>
      <c r="S148" s="72">
        <v>45756</v>
      </c>
      <c r="T148" s="72">
        <v>45758</v>
      </c>
      <c r="U148" s="72">
        <v>45758</v>
      </c>
      <c r="V148" s="72" t="s">
        <v>130</v>
      </c>
      <c r="W148" s="72">
        <v>45758</v>
      </c>
      <c r="X148" s="72" t="s">
        <v>130</v>
      </c>
      <c r="Y148"/>
      <c r="Z148"/>
      <c r="AA148" t="s">
        <v>131</v>
      </c>
      <c r="AB148" t="s">
        <v>131</v>
      </c>
      <c r="AC148" t="s">
        <v>131</v>
      </c>
      <c r="AD148" t="s">
        <v>131</v>
      </c>
      <c r="AE148" t="s">
        <v>131</v>
      </c>
      <c r="AF148" t="s">
        <v>131</v>
      </c>
      <c r="AG148" t="s">
        <v>131</v>
      </c>
      <c r="AH148" t="s">
        <v>131</v>
      </c>
      <c r="AI148" t="s">
        <v>131</v>
      </c>
      <c r="AJ148">
        <v>0</v>
      </c>
      <c r="AK148" t="s">
        <v>131</v>
      </c>
      <c r="AL148" t="s">
        <v>132</v>
      </c>
      <c r="AM148" s="16">
        <f>IF(OR(AC148="Yes",K148="Info Request", K148="Side-Project"),0,(NETWORKDAYS(T148,U148,Holidays!A$2:A$13))-1)</f>
        <v>0</v>
      </c>
      <c r="AN148" s="16">
        <f>IF(OR(AC148="Yes",K148="Info Request", K148="Side-Project"),0,(NETWORKDAYS(U148,W148,Holidays!A$2:A$13))-1)</f>
        <v>0</v>
      </c>
      <c r="AO148" s="16">
        <f>IF(OR(V148="none"),0,((NETWORKDAYS(S148,V148,Holidays!A$2:A$13))-1))</f>
        <v>0</v>
      </c>
      <c r="AP148" s="16" t="b">
        <f t="shared" si="9"/>
        <v>1</v>
      </c>
      <c r="AQ148" s="16" t="b">
        <f t="shared" si="10"/>
        <v>1</v>
      </c>
      <c r="AR148" s="60" t="str">
        <f t="shared" si="11"/>
        <v>OK</v>
      </c>
      <c r="AS148" s="60" t="str">
        <f>IF(table_data[[#This Row],[Flagged-Issues]] = 0, "", table_data[[#This Row],[Flagged-Issues]])</f>
        <v/>
      </c>
    </row>
    <row r="149" spans="1:45" x14ac:dyDescent="0.25">
      <c r="A149" t="s">
        <v>29</v>
      </c>
      <c r="B149" t="s">
        <v>121</v>
      </c>
      <c r="C149" t="s">
        <v>122</v>
      </c>
      <c r="D149" s="65">
        <v>202504141018</v>
      </c>
      <c r="E149" t="s">
        <v>138</v>
      </c>
      <c r="F149" t="s">
        <v>139</v>
      </c>
      <c r="G149"/>
      <c r="H149" t="s">
        <v>360</v>
      </c>
      <c r="I149" t="s">
        <v>126</v>
      </c>
      <c r="J149" t="s">
        <v>151</v>
      </c>
      <c r="K149" t="s">
        <v>128</v>
      </c>
      <c r="L149">
        <v>2</v>
      </c>
      <c r="M149" t="s">
        <v>141</v>
      </c>
      <c r="N149">
        <v>2</v>
      </c>
      <c r="O149"/>
      <c r="P149"/>
      <c r="Q149"/>
      <c r="R149"/>
      <c r="S149" s="72">
        <v>45761</v>
      </c>
      <c r="T149" s="72">
        <v>45761</v>
      </c>
      <c r="U149" s="72">
        <v>45761</v>
      </c>
      <c r="V149" s="72" t="s">
        <v>130</v>
      </c>
      <c r="W149" s="72">
        <v>45761</v>
      </c>
      <c r="X149" s="72" t="s">
        <v>130</v>
      </c>
      <c r="Y149"/>
      <c r="Z149"/>
      <c r="AA149" t="s">
        <v>131</v>
      </c>
      <c r="AB149" t="s">
        <v>132</v>
      </c>
      <c r="AC149" t="s">
        <v>131</v>
      </c>
      <c r="AD149" t="s">
        <v>131</v>
      </c>
      <c r="AE149" t="s">
        <v>131</v>
      </c>
      <c r="AF149" t="s">
        <v>131</v>
      </c>
      <c r="AG149" t="s">
        <v>131</v>
      </c>
      <c r="AH149" t="s">
        <v>131</v>
      </c>
      <c r="AI149" t="s">
        <v>131</v>
      </c>
      <c r="AJ149">
        <v>0</v>
      </c>
      <c r="AK149" t="s">
        <v>131</v>
      </c>
      <c r="AL149" t="s">
        <v>132</v>
      </c>
      <c r="AM149" s="16">
        <f>IF(OR(AC149="Yes",K149="Info Request", K149="Side-Project"),0,(NETWORKDAYS(T149,U149,Holidays!A$2:A$13))-1)</f>
        <v>0</v>
      </c>
      <c r="AN149" s="16">
        <f>IF(OR(AC149="Yes",K149="Info Request", K149="Side-Project"),0,(NETWORKDAYS(U149,W149,Holidays!A$2:A$13))-1)</f>
        <v>0</v>
      </c>
      <c r="AO149" s="16">
        <f>IF(OR(V149="none"),0,((NETWORKDAYS(S149,V149,Holidays!A$2:A$13))-1))</f>
        <v>0</v>
      </c>
      <c r="AP149" s="16" t="b">
        <f t="shared" si="9"/>
        <v>1</v>
      </c>
      <c r="AQ149" s="16" t="b">
        <f t="shared" si="10"/>
        <v>1</v>
      </c>
      <c r="AR149" s="60" t="str">
        <f t="shared" si="11"/>
        <v>OK</v>
      </c>
      <c r="AS149" s="60" t="str">
        <f>IF(table_data[[#This Row],[Flagged-Issues]] = 0, "", table_data[[#This Row],[Flagged-Issues]])</f>
        <v/>
      </c>
    </row>
    <row r="150" spans="1:45" x14ac:dyDescent="0.25">
      <c r="A150" t="s">
        <v>29</v>
      </c>
      <c r="B150" t="s">
        <v>154</v>
      </c>
      <c r="C150" t="s">
        <v>122</v>
      </c>
      <c r="D150" s="65">
        <v>202504110834</v>
      </c>
      <c r="E150" t="s">
        <v>290</v>
      </c>
      <c r="F150" t="s">
        <v>139</v>
      </c>
      <c r="G150"/>
      <c r="H150" t="s">
        <v>361</v>
      </c>
      <c r="I150" t="s">
        <v>126</v>
      </c>
      <c r="J150" t="s">
        <v>157</v>
      </c>
      <c r="K150" t="s">
        <v>128</v>
      </c>
      <c r="L150">
        <v>2</v>
      </c>
      <c r="M150" t="s">
        <v>362</v>
      </c>
      <c r="N150">
        <v>4</v>
      </c>
      <c r="O150">
        <v>2</v>
      </c>
      <c r="P150"/>
      <c r="Q150"/>
      <c r="R150"/>
      <c r="S150" s="72">
        <v>45758</v>
      </c>
      <c r="T150" s="72">
        <v>45761</v>
      </c>
      <c r="U150" s="72">
        <v>45761</v>
      </c>
      <c r="V150" s="72" t="s">
        <v>130</v>
      </c>
      <c r="W150" s="72">
        <v>45777</v>
      </c>
      <c r="X150" s="72" t="s">
        <v>130</v>
      </c>
      <c r="Y150" t="s">
        <v>146</v>
      </c>
      <c r="Z150" t="s">
        <v>147</v>
      </c>
      <c r="AA150" t="s">
        <v>131</v>
      </c>
      <c r="AB150" t="s">
        <v>131</v>
      </c>
      <c r="AC150" t="s">
        <v>131</v>
      </c>
      <c r="AD150" t="s">
        <v>132</v>
      </c>
      <c r="AE150" t="s">
        <v>131</v>
      </c>
      <c r="AF150" t="s">
        <v>131</v>
      </c>
      <c r="AG150" t="s">
        <v>131</v>
      </c>
      <c r="AH150" t="s">
        <v>131</v>
      </c>
      <c r="AI150" t="s">
        <v>131</v>
      </c>
      <c r="AJ150">
        <v>0</v>
      </c>
      <c r="AK150" t="s">
        <v>131</v>
      </c>
      <c r="AL150" t="s">
        <v>148</v>
      </c>
      <c r="AM150" s="16">
        <f>IF(OR(AC150="Yes",K150="Info Request", K150="Side-Project"),0,(NETWORKDAYS(T150,U150,Holidays!A$2:A$13))-1)</f>
        <v>0</v>
      </c>
      <c r="AN150" s="16">
        <f>IF(OR(AC150="Yes",K150="Info Request", K150="Side-Project"),0,(NETWORKDAYS(U150,W150,Holidays!A$2:A$13))-1)</f>
        <v>10</v>
      </c>
      <c r="AO150" s="16">
        <f>IF(OR(V150="none"),0,((NETWORKDAYS(S150,V150,Holidays!A$2:A$13))-1))</f>
        <v>0</v>
      </c>
      <c r="AP150" s="16" t="b">
        <f t="shared" si="9"/>
        <v>1</v>
      </c>
      <c r="AQ150" s="16" t="b">
        <f t="shared" si="10"/>
        <v>1</v>
      </c>
      <c r="AR150" s="60" t="str">
        <f t="shared" si="11"/>
        <v>OK</v>
      </c>
      <c r="AS150" s="60" t="str">
        <f>IF(table_data[[#This Row],[Flagged-Issues]] = 0, "", table_data[[#This Row],[Flagged-Issues]])</f>
        <v/>
      </c>
    </row>
    <row r="151" spans="1:45" x14ac:dyDescent="0.25">
      <c r="A151" t="s">
        <v>29</v>
      </c>
      <c r="B151" t="s">
        <v>154</v>
      </c>
      <c r="C151" t="s">
        <v>122</v>
      </c>
      <c r="D151" s="65">
        <v>202504040904</v>
      </c>
      <c r="E151" t="s">
        <v>230</v>
      </c>
      <c r="F151" t="s">
        <v>231</v>
      </c>
      <c r="G151"/>
      <c r="H151" t="s">
        <v>363</v>
      </c>
      <c r="I151" t="s">
        <v>126</v>
      </c>
      <c r="J151" t="s">
        <v>136</v>
      </c>
      <c r="K151" t="s">
        <v>128</v>
      </c>
      <c r="L151">
        <v>2</v>
      </c>
      <c r="M151" t="s">
        <v>143</v>
      </c>
      <c r="N151">
        <v>2</v>
      </c>
      <c r="O151"/>
      <c r="P151"/>
      <c r="Q151"/>
      <c r="R151"/>
      <c r="S151" s="72">
        <v>45751</v>
      </c>
      <c r="T151" s="72">
        <v>45761</v>
      </c>
      <c r="U151" s="72">
        <v>45761</v>
      </c>
      <c r="V151" s="72" t="s">
        <v>130</v>
      </c>
      <c r="W151" s="72">
        <v>45761</v>
      </c>
      <c r="X151" s="72" t="s">
        <v>130</v>
      </c>
      <c r="Y151"/>
      <c r="Z151"/>
      <c r="AA151" t="s">
        <v>131</v>
      </c>
      <c r="AB151" t="s">
        <v>131</v>
      </c>
      <c r="AC151" t="s">
        <v>131</v>
      </c>
      <c r="AD151" t="s">
        <v>131</v>
      </c>
      <c r="AE151" t="s">
        <v>131</v>
      </c>
      <c r="AF151" t="s">
        <v>131</v>
      </c>
      <c r="AG151" t="s">
        <v>131</v>
      </c>
      <c r="AH151" t="s">
        <v>131</v>
      </c>
      <c r="AI151" t="s">
        <v>131</v>
      </c>
      <c r="AJ151">
        <v>0</v>
      </c>
      <c r="AK151" t="s">
        <v>131</v>
      </c>
      <c r="AL151" t="s">
        <v>132</v>
      </c>
      <c r="AM151" s="16">
        <f>IF(OR(AC151="Yes",K151="Info Request", K151="Side-Project"),0,(NETWORKDAYS(T151,U151,Holidays!A$2:A$13))-1)</f>
        <v>0</v>
      </c>
      <c r="AN151" s="16">
        <f>IF(OR(AC151="Yes",K151="Info Request", K151="Side-Project"),0,(NETWORKDAYS(U151,W151,Holidays!A$2:A$13))-1)</f>
        <v>0</v>
      </c>
      <c r="AO151" s="16">
        <f>IF(OR(V151="none"),0,((NETWORKDAYS(S151,V151,Holidays!A$2:A$13))-1))</f>
        <v>0</v>
      </c>
      <c r="AP151" s="16" t="b">
        <f t="shared" si="9"/>
        <v>1</v>
      </c>
      <c r="AQ151" s="16" t="b">
        <f t="shared" si="10"/>
        <v>1</v>
      </c>
      <c r="AR151" s="60" t="str">
        <f t="shared" si="11"/>
        <v>OK</v>
      </c>
      <c r="AS151" s="60" t="str">
        <f>IF(table_data[[#This Row],[Flagged-Issues]] = 0, "", table_data[[#This Row],[Flagged-Issues]])</f>
        <v/>
      </c>
    </row>
    <row r="152" spans="1:45" x14ac:dyDescent="0.25">
      <c r="A152" t="s">
        <v>289</v>
      </c>
      <c r="B152" t="s">
        <v>154</v>
      </c>
      <c r="C152" t="s">
        <v>122</v>
      </c>
      <c r="D152" s="65">
        <v>202504141410</v>
      </c>
      <c r="E152" t="s">
        <v>290</v>
      </c>
      <c r="F152" t="s">
        <v>139</v>
      </c>
      <c r="G152" t="s">
        <v>364</v>
      </c>
      <c r="H152" t="s">
        <v>365</v>
      </c>
      <c r="I152" t="s">
        <v>126</v>
      </c>
      <c r="J152" t="s">
        <v>151</v>
      </c>
      <c r="K152" t="s">
        <v>128</v>
      </c>
      <c r="L152">
        <v>2</v>
      </c>
      <c r="M152" t="s">
        <v>177</v>
      </c>
      <c r="N152">
        <v>4</v>
      </c>
      <c r="O152">
        <v>2</v>
      </c>
      <c r="P152"/>
      <c r="Q152"/>
      <c r="R152"/>
      <c r="S152" s="72">
        <v>45761</v>
      </c>
      <c r="T152" s="72">
        <v>45761</v>
      </c>
      <c r="U152" s="72">
        <v>45762</v>
      </c>
      <c r="V152" s="72" t="s">
        <v>130</v>
      </c>
      <c r="W152" s="72">
        <v>45770</v>
      </c>
      <c r="X152" s="72" t="s">
        <v>130</v>
      </c>
      <c r="Y152" t="s">
        <v>146</v>
      </c>
      <c r="Z152" t="s">
        <v>147</v>
      </c>
      <c r="AA152" t="s">
        <v>131</v>
      </c>
      <c r="AB152" t="s">
        <v>131</v>
      </c>
      <c r="AC152" t="s">
        <v>131</v>
      </c>
      <c r="AD152" t="s">
        <v>131</v>
      </c>
      <c r="AE152" t="s">
        <v>131</v>
      </c>
      <c r="AF152" t="s">
        <v>131</v>
      </c>
      <c r="AG152" t="s">
        <v>131</v>
      </c>
      <c r="AH152" t="s">
        <v>131</v>
      </c>
      <c r="AI152" t="s">
        <v>132</v>
      </c>
      <c r="AJ152">
        <v>0</v>
      </c>
      <c r="AK152" t="s">
        <v>131</v>
      </c>
      <c r="AL152" t="s">
        <v>148</v>
      </c>
      <c r="AM152" s="16">
        <f>IF(OR(AC152="Yes",K152="Info Request", K152="Side-Project"),0,(NETWORKDAYS(T152,U152,Holidays!A$2:A$13))-1)</f>
        <v>1</v>
      </c>
      <c r="AN152" s="16">
        <f>IF(OR(AC152="Yes",K152="Info Request", K152="Side-Project"),0,(NETWORKDAYS(U152,W152,Holidays!A$2:A$13))-1)</f>
        <v>4</v>
      </c>
      <c r="AO152" s="16">
        <f>IF(OR(V152="none"),0,((NETWORKDAYS(S152,V152,Holidays!A$2:A$13))-1))</f>
        <v>0</v>
      </c>
      <c r="AP152" s="16" t="b">
        <f t="shared" si="9"/>
        <v>1</v>
      </c>
      <c r="AQ152" s="16" t="b">
        <f t="shared" si="10"/>
        <v>1</v>
      </c>
      <c r="AR152" s="60" t="str">
        <f t="shared" si="11"/>
        <v>OK</v>
      </c>
      <c r="AS152" s="60" t="str">
        <f>IF(table_data[[#This Row],[Flagged-Issues]] = 0, "", table_data[[#This Row],[Flagged-Issues]])</f>
        <v/>
      </c>
    </row>
    <row r="153" spans="1:45" x14ac:dyDescent="0.25">
      <c r="A153" t="s">
        <v>29</v>
      </c>
      <c r="B153" t="s">
        <v>154</v>
      </c>
      <c r="C153" t="s">
        <v>122</v>
      </c>
      <c r="D153" s="65">
        <v>202504100926</v>
      </c>
      <c r="E153" t="s">
        <v>123</v>
      </c>
      <c r="F153" t="s">
        <v>124</v>
      </c>
      <c r="G153"/>
      <c r="H153" t="s">
        <v>366</v>
      </c>
      <c r="I153" t="s">
        <v>126</v>
      </c>
      <c r="J153" t="s">
        <v>206</v>
      </c>
      <c r="K153" t="s">
        <v>207</v>
      </c>
      <c r="L153">
        <v>2</v>
      </c>
      <c r="M153" t="s">
        <v>137</v>
      </c>
      <c r="N153"/>
      <c r="O153"/>
      <c r="P153"/>
      <c r="Q153">
        <v>2</v>
      </c>
      <c r="R153"/>
      <c r="S153" s="72">
        <v>45757</v>
      </c>
      <c r="T153" s="72">
        <v>45762</v>
      </c>
      <c r="U153" s="72">
        <v>45762</v>
      </c>
      <c r="V153" s="72" t="s">
        <v>130</v>
      </c>
      <c r="W153" s="72">
        <v>45762</v>
      </c>
      <c r="X153" s="72" t="s">
        <v>130</v>
      </c>
      <c r="Y153"/>
      <c r="Z153"/>
      <c r="AA153" t="s">
        <v>131</v>
      </c>
      <c r="AB153" t="s">
        <v>131</v>
      </c>
      <c r="AC153" t="s">
        <v>131</v>
      </c>
      <c r="AD153" t="s">
        <v>131</v>
      </c>
      <c r="AE153" t="s">
        <v>131</v>
      </c>
      <c r="AF153" t="s">
        <v>131</v>
      </c>
      <c r="AG153" t="s">
        <v>131</v>
      </c>
      <c r="AH153" t="s">
        <v>131</v>
      </c>
      <c r="AI153" t="s">
        <v>131</v>
      </c>
      <c r="AJ153">
        <v>0</v>
      </c>
      <c r="AK153" t="s">
        <v>131</v>
      </c>
      <c r="AL153" t="s">
        <v>132</v>
      </c>
      <c r="AM153" s="16">
        <f>IF(OR(AC153="Yes",K153="Info Request", K153="Side-Project"),0,(NETWORKDAYS(T153,U153,Holidays!A$2:A$13))-1)</f>
        <v>0</v>
      </c>
      <c r="AN153" s="16">
        <f>IF(OR(AC153="Yes",K153="Info Request", K153="Side-Project"),0,(NETWORKDAYS(U153,W153,Holidays!A$2:A$13))-1)</f>
        <v>0</v>
      </c>
      <c r="AO153" s="16">
        <f>IF(OR(V153="none"),0,((NETWORKDAYS(S153,V153,Holidays!A$2:A$13))-1))</f>
        <v>0</v>
      </c>
      <c r="AP153" s="16" t="b">
        <f t="shared" si="9"/>
        <v>1</v>
      </c>
      <c r="AQ153" s="16" t="b">
        <f t="shared" si="10"/>
        <v>1</v>
      </c>
      <c r="AR153" s="60" t="str">
        <f t="shared" si="11"/>
        <v>OK</v>
      </c>
      <c r="AS153" s="60" t="str">
        <f>IF(table_data[[#This Row],[Flagged-Issues]] = 0, "", table_data[[#This Row],[Flagged-Issues]])</f>
        <v/>
      </c>
    </row>
    <row r="154" spans="1:45" x14ac:dyDescent="0.25">
      <c r="A154" t="s">
        <v>29</v>
      </c>
      <c r="B154" t="s">
        <v>154</v>
      </c>
      <c r="C154" t="s">
        <v>122</v>
      </c>
      <c r="D154" s="65">
        <v>202504141419</v>
      </c>
      <c r="E154" t="s">
        <v>215</v>
      </c>
      <c r="F154" t="s">
        <v>173</v>
      </c>
      <c r="G154"/>
      <c r="H154" t="s">
        <v>367</v>
      </c>
      <c r="I154" t="s">
        <v>126</v>
      </c>
      <c r="J154" t="s">
        <v>136</v>
      </c>
      <c r="K154" t="s">
        <v>128</v>
      </c>
      <c r="L154">
        <v>2</v>
      </c>
      <c r="M154" t="s">
        <v>143</v>
      </c>
      <c r="N154">
        <v>2</v>
      </c>
      <c r="O154"/>
      <c r="P154"/>
      <c r="Q154"/>
      <c r="R154"/>
      <c r="S154" s="72">
        <v>45761</v>
      </c>
      <c r="T154" s="72">
        <v>45762</v>
      </c>
      <c r="U154" s="72">
        <v>45762</v>
      </c>
      <c r="V154" s="72" t="s">
        <v>130</v>
      </c>
      <c r="W154" s="72">
        <v>45762</v>
      </c>
      <c r="X154" s="72" t="s">
        <v>130</v>
      </c>
      <c r="Y154"/>
      <c r="Z154"/>
      <c r="AA154" t="s">
        <v>131</v>
      </c>
      <c r="AB154" t="s">
        <v>131</v>
      </c>
      <c r="AC154" t="s">
        <v>131</v>
      </c>
      <c r="AD154" t="s">
        <v>131</v>
      </c>
      <c r="AE154" t="s">
        <v>131</v>
      </c>
      <c r="AF154" t="s">
        <v>131</v>
      </c>
      <c r="AG154" t="s">
        <v>131</v>
      </c>
      <c r="AH154" t="s">
        <v>131</v>
      </c>
      <c r="AI154" t="s">
        <v>131</v>
      </c>
      <c r="AJ154">
        <v>0</v>
      </c>
      <c r="AK154" t="s">
        <v>131</v>
      </c>
      <c r="AL154" t="s">
        <v>132</v>
      </c>
      <c r="AM154" s="16">
        <f>IF(OR(AC154="Yes",K154="Info Request", K154="Side-Project"),0,(NETWORKDAYS(T154,U154,Holidays!A$2:A$13))-1)</f>
        <v>0</v>
      </c>
      <c r="AN154" s="16">
        <f>IF(OR(AC154="Yes",K154="Info Request", K154="Side-Project"),0,(NETWORKDAYS(U154,W154,Holidays!A$2:A$13))-1)</f>
        <v>0</v>
      </c>
      <c r="AO154" s="16">
        <f>IF(OR(V154="none"),0,((NETWORKDAYS(S154,V154,Holidays!A$2:A$13))-1))</f>
        <v>0</v>
      </c>
      <c r="AP154" s="16" t="b">
        <f t="shared" si="9"/>
        <v>1</v>
      </c>
      <c r="AQ154" s="16" t="b">
        <f t="shared" si="10"/>
        <v>1</v>
      </c>
      <c r="AR154" s="60" t="str">
        <f t="shared" si="11"/>
        <v>OK</v>
      </c>
      <c r="AS154" s="60" t="str">
        <f>IF(table_data[[#This Row],[Flagged-Issues]] = 0, "", table_data[[#This Row],[Flagged-Issues]])</f>
        <v/>
      </c>
    </row>
    <row r="155" spans="1:45" x14ac:dyDescent="0.25">
      <c r="A155" t="s">
        <v>29</v>
      </c>
      <c r="B155" t="s">
        <v>154</v>
      </c>
      <c r="C155" t="s">
        <v>122</v>
      </c>
      <c r="D155" s="65">
        <v>202504151103</v>
      </c>
      <c r="E155" t="s">
        <v>368</v>
      </c>
      <c r="F155" t="s">
        <v>173</v>
      </c>
      <c r="G155"/>
      <c r="H155" t="s">
        <v>369</v>
      </c>
      <c r="I155" t="s">
        <v>126</v>
      </c>
      <c r="J155" t="s">
        <v>157</v>
      </c>
      <c r="K155" t="s">
        <v>128</v>
      </c>
      <c r="L155">
        <v>2</v>
      </c>
      <c r="M155" t="s">
        <v>187</v>
      </c>
      <c r="N155">
        <v>2</v>
      </c>
      <c r="O155">
        <v>2</v>
      </c>
      <c r="P155"/>
      <c r="Q155">
        <v>1</v>
      </c>
      <c r="R155"/>
      <c r="S155" s="72">
        <v>45762</v>
      </c>
      <c r="T155" s="72">
        <v>45754</v>
      </c>
      <c r="U155" s="72">
        <v>45754</v>
      </c>
      <c r="V155" s="72" t="s">
        <v>130</v>
      </c>
      <c r="W155" s="72">
        <v>45764</v>
      </c>
      <c r="X155" s="72" t="s">
        <v>130</v>
      </c>
      <c r="Y155" t="s">
        <v>146</v>
      </c>
      <c r="Z155" t="s">
        <v>147</v>
      </c>
      <c r="AA155" t="s">
        <v>131</v>
      </c>
      <c r="AB155" t="s">
        <v>131</v>
      </c>
      <c r="AC155" t="s">
        <v>131</v>
      </c>
      <c r="AD155" t="s">
        <v>131</v>
      </c>
      <c r="AE155" t="s">
        <v>131</v>
      </c>
      <c r="AF155" t="s">
        <v>131</v>
      </c>
      <c r="AG155" t="s">
        <v>131</v>
      </c>
      <c r="AH155" t="s">
        <v>131</v>
      </c>
      <c r="AI155" t="s">
        <v>132</v>
      </c>
      <c r="AJ155">
        <v>0</v>
      </c>
      <c r="AK155" t="s">
        <v>132</v>
      </c>
      <c r="AL155" t="s">
        <v>148</v>
      </c>
      <c r="AM155" s="16">
        <f>IF(OR(AC155="Yes",K155="Info Request", K155="Side-Project"),0,(NETWORKDAYS(T155,U155,Holidays!A$2:A$13))-1)</f>
        <v>0</v>
      </c>
      <c r="AN155" s="16">
        <f>IF(OR(AC155="Yes",K155="Info Request", K155="Side-Project"),0,(NETWORKDAYS(U155,W155,Holidays!A$2:A$13))-1)</f>
        <v>8</v>
      </c>
      <c r="AO155" s="16">
        <f>IF(OR(V155="none"),0,((NETWORKDAYS(S155,V155,Holidays!A$2:A$13))-1))</f>
        <v>0</v>
      </c>
      <c r="AP155" s="16" t="b">
        <f t="shared" si="9"/>
        <v>1</v>
      </c>
      <c r="AQ155" s="16" t="b">
        <f t="shared" si="10"/>
        <v>1</v>
      </c>
      <c r="AR155" s="60" t="str">
        <f t="shared" si="11"/>
        <v>OK</v>
      </c>
      <c r="AS155" s="60" t="str">
        <f>IF(table_data[[#This Row],[Flagged-Issues]] = 0, "", table_data[[#This Row],[Flagged-Issues]])</f>
        <v/>
      </c>
    </row>
    <row r="156" spans="1:45" x14ac:dyDescent="0.25">
      <c r="A156" t="s">
        <v>29</v>
      </c>
      <c r="B156" t="s">
        <v>154</v>
      </c>
      <c r="C156" t="s">
        <v>122</v>
      </c>
      <c r="D156" s="65">
        <v>202504141513</v>
      </c>
      <c r="E156" t="s">
        <v>123</v>
      </c>
      <c r="F156" t="s">
        <v>124</v>
      </c>
      <c r="G156"/>
      <c r="H156" t="s">
        <v>370</v>
      </c>
      <c r="I156" t="s">
        <v>126</v>
      </c>
      <c r="J156" t="s">
        <v>157</v>
      </c>
      <c r="K156" t="s">
        <v>128</v>
      </c>
      <c r="L156">
        <v>2</v>
      </c>
      <c r="M156" t="s">
        <v>158</v>
      </c>
      <c r="N156">
        <v>4</v>
      </c>
      <c r="O156"/>
      <c r="P156"/>
      <c r="Q156">
        <v>2</v>
      </c>
      <c r="R156"/>
      <c r="S156" s="72">
        <v>45761</v>
      </c>
      <c r="T156" s="72">
        <v>45764</v>
      </c>
      <c r="U156" s="72">
        <v>45764</v>
      </c>
      <c r="V156" s="72" t="s">
        <v>130</v>
      </c>
      <c r="W156" s="72">
        <v>45764</v>
      </c>
      <c r="X156" s="72" t="s">
        <v>130</v>
      </c>
      <c r="Y156"/>
      <c r="Z156"/>
      <c r="AA156" t="s">
        <v>131</v>
      </c>
      <c r="AB156" t="s">
        <v>131</v>
      </c>
      <c r="AC156" t="s">
        <v>131</v>
      </c>
      <c r="AD156" t="s">
        <v>131</v>
      </c>
      <c r="AE156" t="s">
        <v>131</v>
      </c>
      <c r="AF156" t="s">
        <v>131</v>
      </c>
      <c r="AG156" t="s">
        <v>131</v>
      </c>
      <c r="AH156" t="s">
        <v>131</v>
      </c>
      <c r="AI156" t="s">
        <v>131</v>
      </c>
      <c r="AJ156">
        <v>0</v>
      </c>
      <c r="AK156" t="s">
        <v>131</v>
      </c>
      <c r="AL156" t="s">
        <v>132</v>
      </c>
      <c r="AM156" s="16">
        <f>IF(OR(AC156="Yes",K156="Info Request", K156="Side-Project"),0,(NETWORKDAYS(T156,U156,Holidays!A$2:A$13))-1)</f>
        <v>0</v>
      </c>
      <c r="AN156" s="16">
        <f>IF(OR(AC156="Yes",K156="Info Request", K156="Side-Project"),0,(NETWORKDAYS(U156,W156,Holidays!A$2:A$13))-1)</f>
        <v>0</v>
      </c>
      <c r="AO156" s="16">
        <f>IF(OR(V156="none"),0,((NETWORKDAYS(S156,V156,Holidays!A$2:A$13))-1))</f>
        <v>0</v>
      </c>
      <c r="AP156" s="16" t="b">
        <f t="shared" si="9"/>
        <v>1</v>
      </c>
      <c r="AQ156" s="16" t="b">
        <f t="shared" si="10"/>
        <v>1</v>
      </c>
      <c r="AR156" s="60" t="str">
        <f t="shared" si="11"/>
        <v>OK</v>
      </c>
      <c r="AS156" s="60" t="str">
        <f>IF(table_data[[#This Row],[Flagged-Issues]] = 0, "", table_data[[#This Row],[Flagged-Issues]])</f>
        <v/>
      </c>
    </row>
    <row r="157" spans="1:45" x14ac:dyDescent="0.25">
      <c r="A157" t="s">
        <v>29</v>
      </c>
      <c r="B157" t="s">
        <v>154</v>
      </c>
      <c r="C157" t="s">
        <v>122</v>
      </c>
      <c r="D157" s="65">
        <v>202504151147</v>
      </c>
      <c r="E157" t="s">
        <v>223</v>
      </c>
      <c r="F157" t="s">
        <v>173</v>
      </c>
      <c r="G157"/>
      <c r="H157" t="s">
        <v>371</v>
      </c>
      <c r="I157" t="s">
        <v>126</v>
      </c>
      <c r="J157" t="s">
        <v>136</v>
      </c>
      <c r="K157" t="s">
        <v>128</v>
      </c>
      <c r="L157">
        <v>2</v>
      </c>
      <c r="M157" t="s">
        <v>303</v>
      </c>
      <c r="N157">
        <v>1</v>
      </c>
      <c r="O157"/>
      <c r="P157"/>
      <c r="Q157"/>
      <c r="R157"/>
      <c r="S157" s="72">
        <v>45762</v>
      </c>
      <c r="T157" s="72">
        <v>45763</v>
      </c>
      <c r="U157" s="72">
        <v>45763</v>
      </c>
      <c r="V157" s="72" t="s">
        <v>130</v>
      </c>
      <c r="W157" s="72">
        <v>45763</v>
      </c>
      <c r="X157" s="72" t="s">
        <v>130</v>
      </c>
      <c r="Y157"/>
      <c r="Z157"/>
      <c r="AA157" t="s">
        <v>131</v>
      </c>
      <c r="AB157" t="s">
        <v>131</v>
      </c>
      <c r="AC157" t="s">
        <v>131</v>
      </c>
      <c r="AD157" t="s">
        <v>131</v>
      </c>
      <c r="AE157" t="s">
        <v>131</v>
      </c>
      <c r="AF157" t="s">
        <v>131</v>
      </c>
      <c r="AG157" t="s">
        <v>131</v>
      </c>
      <c r="AH157" t="s">
        <v>131</v>
      </c>
      <c r="AI157" t="s">
        <v>131</v>
      </c>
      <c r="AJ157">
        <v>0</v>
      </c>
      <c r="AK157" t="s">
        <v>131</v>
      </c>
      <c r="AL157" t="s">
        <v>132</v>
      </c>
      <c r="AM157" s="16">
        <f>IF(OR(AC157="Yes",K157="Info Request", K157="Side-Project"),0,(NETWORKDAYS(T157,U157,Holidays!A$2:A$13))-1)</f>
        <v>0</v>
      </c>
      <c r="AN157" s="16">
        <f>IF(OR(AC157="Yes",K157="Info Request", K157="Side-Project"),0,(NETWORKDAYS(U157,W157,Holidays!A$2:A$13))-1)</f>
        <v>0</v>
      </c>
      <c r="AO157" s="16">
        <f>IF(OR(V157="none"),0,((NETWORKDAYS(S157,V157,Holidays!A$2:A$13))-1))</f>
        <v>0</v>
      </c>
      <c r="AP157" s="16" t="b">
        <f t="shared" si="9"/>
        <v>1</v>
      </c>
      <c r="AQ157" s="16" t="b">
        <f t="shared" si="10"/>
        <v>1</v>
      </c>
      <c r="AR157" s="60" t="str">
        <f t="shared" si="11"/>
        <v>OK</v>
      </c>
      <c r="AS157" s="60" t="str">
        <f>IF(table_data[[#This Row],[Flagged-Issues]] = 0, "", table_data[[#This Row],[Flagged-Issues]])</f>
        <v/>
      </c>
    </row>
    <row r="158" spans="1:45" x14ac:dyDescent="0.25">
      <c r="A158" t="s">
        <v>289</v>
      </c>
      <c r="B158" t="s">
        <v>154</v>
      </c>
      <c r="C158" t="s">
        <v>122</v>
      </c>
      <c r="D158" s="65">
        <v>202504161354</v>
      </c>
      <c r="E158" t="s">
        <v>290</v>
      </c>
      <c r="F158" t="s">
        <v>139</v>
      </c>
      <c r="G158" t="s">
        <v>364</v>
      </c>
      <c r="H158" t="s">
        <v>372</v>
      </c>
      <c r="I158" t="s">
        <v>126</v>
      </c>
      <c r="J158" t="s">
        <v>151</v>
      </c>
      <c r="K158" t="s">
        <v>128</v>
      </c>
      <c r="L158">
        <v>2</v>
      </c>
      <c r="M158" t="s">
        <v>177</v>
      </c>
      <c r="N158">
        <v>4</v>
      </c>
      <c r="O158">
        <v>2</v>
      </c>
      <c r="P158"/>
      <c r="Q158"/>
      <c r="R158"/>
      <c r="S158" s="72">
        <v>45763</v>
      </c>
      <c r="T158" s="72">
        <v>45764</v>
      </c>
      <c r="U158" s="72">
        <v>45769</v>
      </c>
      <c r="V158" s="72" t="s">
        <v>130</v>
      </c>
      <c r="W158" s="72">
        <v>45775</v>
      </c>
      <c r="X158" s="72" t="s">
        <v>130</v>
      </c>
      <c r="Y158" t="s">
        <v>146</v>
      </c>
      <c r="Z158" t="s">
        <v>147</v>
      </c>
      <c r="AA158" t="s">
        <v>131</v>
      </c>
      <c r="AB158" t="s">
        <v>131</v>
      </c>
      <c r="AC158" t="s">
        <v>131</v>
      </c>
      <c r="AD158" t="s">
        <v>132</v>
      </c>
      <c r="AE158" t="s">
        <v>131</v>
      </c>
      <c r="AF158" t="s">
        <v>131</v>
      </c>
      <c r="AG158" t="s">
        <v>131</v>
      </c>
      <c r="AH158" t="s">
        <v>131</v>
      </c>
      <c r="AI158" t="s">
        <v>132</v>
      </c>
      <c r="AJ158">
        <v>0</v>
      </c>
      <c r="AK158" t="s">
        <v>131</v>
      </c>
      <c r="AL158" t="s">
        <v>131</v>
      </c>
      <c r="AM158" s="16">
        <f>IF(OR(AC158="Yes",K158="Info Request", K158="Side-Project"),0,(NETWORKDAYS(T158,U158,Holidays!A$2:A$13))-1)</f>
        <v>1</v>
      </c>
      <c r="AN158" s="16">
        <f>IF(OR(AC158="Yes",K158="Info Request", K158="Side-Project"),0,(NETWORKDAYS(U158,W158,Holidays!A$2:A$13))-1)</f>
        <v>4</v>
      </c>
      <c r="AO158" s="16">
        <f>IF(OR(V158="none"),0,((NETWORKDAYS(S158,V158,Holidays!A$2:A$13))-1))</f>
        <v>0</v>
      </c>
      <c r="AP158" s="16" t="b">
        <f t="shared" si="9"/>
        <v>1</v>
      </c>
      <c r="AQ158" s="16" t="b">
        <f t="shared" si="10"/>
        <v>1</v>
      </c>
      <c r="AR158" s="60" t="str">
        <f t="shared" si="11"/>
        <v>OK</v>
      </c>
      <c r="AS158" s="60" t="str">
        <f>IF(table_data[[#This Row],[Flagged-Issues]] = 0, "", table_data[[#This Row],[Flagged-Issues]])</f>
        <v/>
      </c>
    </row>
    <row r="159" spans="1:45" x14ac:dyDescent="0.25">
      <c r="A159" t="s">
        <v>29</v>
      </c>
      <c r="B159" t="s">
        <v>154</v>
      </c>
      <c r="C159" t="s">
        <v>122</v>
      </c>
      <c r="D159" s="65">
        <v>202504161444</v>
      </c>
      <c r="E159" t="s">
        <v>223</v>
      </c>
      <c r="F159" t="s">
        <v>173</v>
      </c>
      <c r="G159"/>
      <c r="H159" t="s">
        <v>373</v>
      </c>
      <c r="I159" t="s">
        <v>126</v>
      </c>
      <c r="J159" t="s">
        <v>136</v>
      </c>
      <c r="K159" t="s">
        <v>128</v>
      </c>
      <c r="L159">
        <v>2</v>
      </c>
      <c r="M159" t="s">
        <v>143</v>
      </c>
      <c r="N159">
        <v>2</v>
      </c>
      <c r="O159"/>
      <c r="P159"/>
      <c r="Q159"/>
      <c r="R159"/>
      <c r="S159" s="72">
        <v>45763</v>
      </c>
      <c r="T159" s="72">
        <v>45764</v>
      </c>
      <c r="U159" s="72">
        <v>45764</v>
      </c>
      <c r="V159" s="72" t="s">
        <v>130</v>
      </c>
      <c r="W159" s="72">
        <v>45769</v>
      </c>
      <c r="X159" s="72" t="s">
        <v>130</v>
      </c>
      <c r="Y159"/>
      <c r="Z159"/>
      <c r="AA159" t="s">
        <v>131</v>
      </c>
      <c r="AB159" t="s">
        <v>131</v>
      </c>
      <c r="AC159" t="s">
        <v>131</v>
      </c>
      <c r="AD159" t="s">
        <v>131</v>
      </c>
      <c r="AE159" t="s">
        <v>131</v>
      </c>
      <c r="AF159" t="s">
        <v>131</v>
      </c>
      <c r="AG159" t="s">
        <v>131</v>
      </c>
      <c r="AH159" t="s">
        <v>131</v>
      </c>
      <c r="AI159" t="s">
        <v>132</v>
      </c>
      <c r="AJ159">
        <v>0</v>
      </c>
      <c r="AK159" t="s">
        <v>131</v>
      </c>
      <c r="AL159" t="s">
        <v>132</v>
      </c>
      <c r="AM159" s="16">
        <f>IF(OR(AC159="Yes",K159="Info Request", K159="Side-Project"),0,(NETWORKDAYS(T159,U159,Holidays!A$2:A$13))-1)</f>
        <v>0</v>
      </c>
      <c r="AN159" s="16">
        <f>IF(OR(AC159="Yes",K159="Info Request", K159="Side-Project"),0,(NETWORKDAYS(U159,W159,Holidays!A$2:A$13))-1)</f>
        <v>1</v>
      </c>
      <c r="AO159" s="16">
        <f>IF(OR(V159="none"),0,((NETWORKDAYS(S159,V159,Holidays!A$2:A$13))-1))</f>
        <v>0</v>
      </c>
      <c r="AP159" s="16" t="b">
        <f t="shared" si="9"/>
        <v>1</v>
      </c>
      <c r="AQ159" s="16" t="b">
        <f t="shared" si="10"/>
        <v>1</v>
      </c>
      <c r="AR159" s="60" t="str">
        <f t="shared" si="11"/>
        <v>OK</v>
      </c>
      <c r="AS159" s="60" t="str">
        <f>IF(table_data[[#This Row],[Flagged-Issues]] = 0, "", table_data[[#This Row],[Flagged-Issues]])</f>
        <v/>
      </c>
    </row>
    <row r="160" spans="1:45" x14ac:dyDescent="0.25">
      <c r="A160" t="s">
        <v>289</v>
      </c>
      <c r="B160" t="s">
        <v>154</v>
      </c>
      <c r="C160" t="s">
        <v>122</v>
      </c>
      <c r="D160" s="65">
        <v>202504220838</v>
      </c>
      <c r="E160" t="s">
        <v>290</v>
      </c>
      <c r="F160" t="s">
        <v>139</v>
      </c>
      <c r="G160" t="s">
        <v>226</v>
      </c>
      <c r="H160" t="s">
        <v>374</v>
      </c>
      <c r="I160" t="s">
        <v>126</v>
      </c>
      <c r="J160" t="s">
        <v>167</v>
      </c>
      <c r="K160" t="s">
        <v>128</v>
      </c>
      <c r="L160">
        <v>2</v>
      </c>
      <c r="M160" t="s">
        <v>187</v>
      </c>
      <c r="N160">
        <v>4</v>
      </c>
      <c r="O160">
        <v>2</v>
      </c>
      <c r="P160"/>
      <c r="Q160"/>
      <c r="R160"/>
      <c r="S160" s="72">
        <v>45769</v>
      </c>
      <c r="T160" s="72">
        <v>45770</v>
      </c>
      <c r="U160" s="72">
        <v>45771</v>
      </c>
      <c r="V160" s="72" t="s">
        <v>130</v>
      </c>
      <c r="W160" s="72">
        <v>45776</v>
      </c>
      <c r="X160" s="72" t="s">
        <v>130</v>
      </c>
      <c r="Y160" t="s">
        <v>146</v>
      </c>
      <c r="Z160" t="s">
        <v>147</v>
      </c>
      <c r="AA160" t="s">
        <v>131</v>
      </c>
      <c r="AB160" t="s">
        <v>131</v>
      </c>
      <c r="AC160" t="s">
        <v>131</v>
      </c>
      <c r="AD160" t="s">
        <v>131</v>
      </c>
      <c r="AE160" t="s">
        <v>131</v>
      </c>
      <c r="AF160" t="s">
        <v>131</v>
      </c>
      <c r="AG160" t="s">
        <v>131</v>
      </c>
      <c r="AH160" t="s">
        <v>131</v>
      </c>
      <c r="AI160" t="s">
        <v>132</v>
      </c>
      <c r="AJ160">
        <v>0</v>
      </c>
      <c r="AK160" t="s">
        <v>132</v>
      </c>
      <c r="AL160" t="s">
        <v>148</v>
      </c>
      <c r="AM160" s="16">
        <f>IF(OR(AC160="Yes",K160="Info Request", K160="Side-Project"),0,(NETWORKDAYS(T160,U160,Holidays!A$2:A$13))-1)</f>
        <v>1</v>
      </c>
      <c r="AN160" s="16">
        <f>IF(OR(AC160="Yes",K160="Info Request", K160="Side-Project"),0,(NETWORKDAYS(U160,W160,Holidays!A$2:A$13))-1)</f>
        <v>3</v>
      </c>
      <c r="AO160" s="16">
        <f>IF(OR(V160="none"),0,((NETWORKDAYS(S160,V160,Holidays!A$2:A$13))-1))</f>
        <v>0</v>
      </c>
      <c r="AP160" s="16" t="b">
        <f t="shared" si="9"/>
        <v>1</v>
      </c>
      <c r="AQ160" s="16" t="b">
        <f t="shared" si="10"/>
        <v>1</v>
      </c>
      <c r="AR160" s="60" t="str">
        <f t="shared" si="11"/>
        <v>OK</v>
      </c>
      <c r="AS160" s="60" t="str">
        <f>IF(table_data[[#This Row],[Flagged-Issues]] = 0, "", table_data[[#This Row],[Flagged-Issues]])</f>
        <v/>
      </c>
    </row>
    <row r="161" spans="1:45" x14ac:dyDescent="0.25">
      <c r="A161" t="s">
        <v>29</v>
      </c>
      <c r="B161" t="s">
        <v>154</v>
      </c>
      <c r="C161" t="s">
        <v>122</v>
      </c>
      <c r="D161" s="65">
        <v>202504170913</v>
      </c>
      <c r="E161" t="s">
        <v>215</v>
      </c>
      <c r="F161" t="s">
        <v>173</v>
      </c>
      <c r="G161"/>
      <c r="H161" t="s">
        <v>375</v>
      </c>
      <c r="I161" t="s">
        <v>126</v>
      </c>
      <c r="J161" t="s">
        <v>151</v>
      </c>
      <c r="K161" t="s">
        <v>128</v>
      </c>
      <c r="L161">
        <v>2</v>
      </c>
      <c r="M161" t="s">
        <v>189</v>
      </c>
      <c r="N161">
        <v>2</v>
      </c>
      <c r="O161"/>
      <c r="P161"/>
      <c r="Q161"/>
      <c r="R161"/>
      <c r="S161" s="72">
        <v>45764</v>
      </c>
      <c r="T161" s="72">
        <v>45769</v>
      </c>
      <c r="U161" s="72">
        <v>45769</v>
      </c>
      <c r="V161" s="72" t="s">
        <v>130</v>
      </c>
      <c r="W161" s="72">
        <v>45770</v>
      </c>
      <c r="X161" s="72" t="s">
        <v>130</v>
      </c>
      <c r="Y161" t="s">
        <v>146</v>
      </c>
      <c r="Z161" t="s">
        <v>147</v>
      </c>
      <c r="AA161" t="s">
        <v>131</v>
      </c>
      <c r="AB161" t="s">
        <v>131</v>
      </c>
      <c r="AC161" t="s">
        <v>131</v>
      </c>
      <c r="AD161" t="s">
        <v>132</v>
      </c>
      <c r="AE161" t="s">
        <v>131</v>
      </c>
      <c r="AF161" t="s">
        <v>131</v>
      </c>
      <c r="AG161" t="s">
        <v>131</v>
      </c>
      <c r="AH161" t="s">
        <v>131</v>
      </c>
      <c r="AI161" t="s">
        <v>132</v>
      </c>
      <c r="AJ161">
        <v>0</v>
      </c>
      <c r="AK161" t="s">
        <v>131</v>
      </c>
      <c r="AL161" t="s">
        <v>131</v>
      </c>
      <c r="AM161" s="16">
        <f>IF(OR(AC161="Yes",K161="Info Request", K161="Side-Project"),0,(NETWORKDAYS(T161,U161,Holidays!A$2:A$13))-1)</f>
        <v>0</v>
      </c>
      <c r="AN161" s="16">
        <f>IF(OR(AC161="Yes",K161="Info Request", K161="Side-Project"),0,(NETWORKDAYS(U161,W161,Holidays!A$2:A$13))-1)</f>
        <v>1</v>
      </c>
      <c r="AO161" s="16">
        <f>IF(OR(V161="none"),0,((NETWORKDAYS(S161,V161,Holidays!A$2:A$13))-1))</f>
        <v>0</v>
      </c>
      <c r="AP161" s="16" t="b">
        <f t="shared" si="9"/>
        <v>1</v>
      </c>
      <c r="AQ161" s="16" t="b">
        <f t="shared" si="10"/>
        <v>1</v>
      </c>
      <c r="AR161" s="60" t="str">
        <f t="shared" si="11"/>
        <v>OK</v>
      </c>
      <c r="AS161" s="60" t="str">
        <f>IF(table_data[[#This Row],[Flagged-Issues]] = 0, "", table_data[[#This Row],[Flagged-Issues]])</f>
        <v/>
      </c>
    </row>
    <row r="162" spans="1:45" x14ac:dyDescent="0.25">
      <c r="A162" t="s">
        <v>29</v>
      </c>
      <c r="B162" t="s">
        <v>154</v>
      </c>
      <c r="C162" t="s">
        <v>122</v>
      </c>
      <c r="D162" s="65">
        <v>202504221441</v>
      </c>
      <c r="E162" t="s">
        <v>338</v>
      </c>
      <c r="F162" t="s">
        <v>173</v>
      </c>
      <c r="G162"/>
      <c r="H162" t="s">
        <v>376</v>
      </c>
      <c r="I162" t="s">
        <v>126</v>
      </c>
      <c r="J162" t="s">
        <v>127</v>
      </c>
      <c r="K162" t="s">
        <v>128</v>
      </c>
      <c r="L162">
        <v>2</v>
      </c>
      <c r="M162" t="s">
        <v>162</v>
      </c>
      <c r="N162">
        <v>4</v>
      </c>
      <c r="O162"/>
      <c r="P162"/>
      <c r="Q162">
        <v>2</v>
      </c>
      <c r="R162"/>
      <c r="S162" s="72">
        <v>45769</v>
      </c>
      <c r="T162" s="72">
        <v>45770</v>
      </c>
      <c r="U162" s="72">
        <v>45770</v>
      </c>
      <c r="V162" s="72" t="s">
        <v>130</v>
      </c>
      <c r="W162" s="72">
        <v>45775</v>
      </c>
      <c r="X162" s="72" t="s">
        <v>130</v>
      </c>
      <c r="Y162"/>
      <c r="Z162"/>
      <c r="AA162" t="s">
        <v>131</v>
      </c>
      <c r="AB162" t="s">
        <v>131</v>
      </c>
      <c r="AC162" t="s">
        <v>131</v>
      </c>
      <c r="AD162" t="s">
        <v>131</v>
      </c>
      <c r="AE162" t="s">
        <v>131</v>
      </c>
      <c r="AF162" t="s">
        <v>131</v>
      </c>
      <c r="AG162" t="s">
        <v>132</v>
      </c>
      <c r="AH162" t="s">
        <v>131</v>
      </c>
      <c r="AI162" t="s">
        <v>131</v>
      </c>
      <c r="AJ162">
        <v>0</v>
      </c>
      <c r="AK162" t="s">
        <v>131</v>
      </c>
      <c r="AL162" t="s">
        <v>132</v>
      </c>
      <c r="AM162" s="16">
        <f>IF(OR(AC162="Yes",K162="Info Request", K162="Side-Project"),0,(NETWORKDAYS(T162,U162,Holidays!A$2:A$13))-1)</f>
        <v>0</v>
      </c>
      <c r="AN162" s="16">
        <f>IF(OR(AC162="Yes",K162="Info Request", K162="Side-Project"),0,(NETWORKDAYS(U162,W162,Holidays!A$2:A$13))-1)</f>
        <v>3</v>
      </c>
      <c r="AO162" s="16">
        <f>IF(OR(V162="none"),0,((NETWORKDAYS(S162,V162,Holidays!A$2:A$13))-1))</f>
        <v>0</v>
      </c>
      <c r="AP162" s="16" t="b">
        <f t="shared" si="9"/>
        <v>1</v>
      </c>
      <c r="AQ162" s="16" t="b">
        <f t="shared" si="10"/>
        <v>1</v>
      </c>
      <c r="AR162" s="60" t="str">
        <f t="shared" si="11"/>
        <v>OK</v>
      </c>
      <c r="AS162" s="60" t="str">
        <f>IF(table_data[[#This Row],[Flagged-Issues]] = 0, "", table_data[[#This Row],[Flagged-Issues]])</f>
        <v/>
      </c>
    </row>
    <row r="163" spans="1:45" x14ac:dyDescent="0.25">
      <c r="A163" t="s">
        <v>29</v>
      </c>
      <c r="B163" t="s">
        <v>154</v>
      </c>
      <c r="C163" t="s">
        <v>122</v>
      </c>
      <c r="D163" s="65">
        <v>202504220825</v>
      </c>
      <c r="E163" t="s">
        <v>347</v>
      </c>
      <c r="F163" t="s">
        <v>173</v>
      </c>
      <c r="G163"/>
      <c r="H163" t="s">
        <v>377</v>
      </c>
      <c r="I163" t="s">
        <v>126</v>
      </c>
      <c r="J163" t="s">
        <v>127</v>
      </c>
      <c r="K163" t="s">
        <v>128</v>
      </c>
      <c r="L163">
        <v>2</v>
      </c>
      <c r="M163" t="s">
        <v>160</v>
      </c>
      <c r="N163">
        <v>2</v>
      </c>
      <c r="O163"/>
      <c r="P163"/>
      <c r="Q163"/>
      <c r="R163"/>
      <c r="S163" s="72">
        <v>45769</v>
      </c>
      <c r="T163" s="72">
        <v>45769</v>
      </c>
      <c r="U163" s="72">
        <v>45769</v>
      </c>
      <c r="V163" s="72" t="s">
        <v>130</v>
      </c>
      <c r="W163" s="72">
        <v>45769</v>
      </c>
      <c r="X163" s="72" t="s">
        <v>130</v>
      </c>
      <c r="Y163" t="s">
        <v>146</v>
      </c>
      <c r="Z163" t="s">
        <v>147</v>
      </c>
      <c r="AA163" t="s">
        <v>131</v>
      </c>
      <c r="AB163" t="s">
        <v>131</v>
      </c>
      <c r="AC163" t="s">
        <v>131</v>
      </c>
      <c r="AD163" t="s">
        <v>131</v>
      </c>
      <c r="AE163" t="s">
        <v>131</v>
      </c>
      <c r="AF163" t="s">
        <v>131</v>
      </c>
      <c r="AG163" t="s">
        <v>131</v>
      </c>
      <c r="AH163" t="s">
        <v>131</v>
      </c>
      <c r="AI163" t="s">
        <v>131</v>
      </c>
      <c r="AJ163">
        <v>0</v>
      </c>
      <c r="AK163" t="s">
        <v>131</v>
      </c>
      <c r="AL163" t="s">
        <v>148</v>
      </c>
      <c r="AM163" s="16">
        <f>IF(OR(AC163="Yes",K163="Info Request", K163="Side-Project"),0,(NETWORKDAYS(T163,U163,Holidays!A$2:A$13))-1)</f>
        <v>0</v>
      </c>
      <c r="AN163" s="16">
        <f>IF(OR(AC163="Yes",K163="Info Request", K163="Side-Project"),0,(NETWORKDAYS(U163,W163,Holidays!A$2:A$13))-1)</f>
        <v>0</v>
      </c>
      <c r="AO163" s="16">
        <f>IF(OR(V163="none"),0,((NETWORKDAYS(S163,V163,Holidays!A$2:A$13))-1))</f>
        <v>0</v>
      </c>
      <c r="AP163" s="16" t="b">
        <f t="shared" si="9"/>
        <v>1</v>
      </c>
      <c r="AQ163" s="16" t="b">
        <f t="shared" si="10"/>
        <v>1</v>
      </c>
      <c r="AR163" s="60" t="str">
        <f t="shared" si="11"/>
        <v>OK</v>
      </c>
      <c r="AS163" s="60" t="str">
        <f>IF(table_data[[#This Row],[Flagged-Issues]] = 0, "", table_data[[#This Row],[Flagged-Issues]])</f>
        <v/>
      </c>
    </row>
    <row r="164" spans="1:45" x14ac:dyDescent="0.25">
      <c r="A164" t="s">
        <v>29</v>
      </c>
      <c r="B164" t="s">
        <v>154</v>
      </c>
      <c r="C164" t="s">
        <v>122</v>
      </c>
      <c r="D164" s="65">
        <v>202504161344</v>
      </c>
      <c r="E164" t="s">
        <v>230</v>
      </c>
      <c r="F164" t="s">
        <v>231</v>
      </c>
      <c r="G164"/>
      <c r="H164" t="s">
        <v>378</v>
      </c>
      <c r="I164" t="s">
        <v>126</v>
      </c>
      <c r="J164" t="s">
        <v>151</v>
      </c>
      <c r="K164" t="s">
        <v>128</v>
      </c>
      <c r="L164">
        <v>2</v>
      </c>
      <c r="M164" t="s">
        <v>141</v>
      </c>
      <c r="N164">
        <v>2</v>
      </c>
      <c r="O164"/>
      <c r="P164"/>
      <c r="Q164"/>
      <c r="R164"/>
      <c r="S164" s="72">
        <v>45763</v>
      </c>
      <c r="T164" s="72">
        <v>45770</v>
      </c>
      <c r="U164" s="72">
        <v>45770</v>
      </c>
      <c r="V164" s="72" t="s">
        <v>130</v>
      </c>
      <c r="W164" s="72">
        <v>45770</v>
      </c>
      <c r="X164" s="72" t="s">
        <v>130</v>
      </c>
      <c r="Y164"/>
      <c r="Z164"/>
      <c r="AA164" t="s">
        <v>131</v>
      </c>
      <c r="AB164" t="s">
        <v>131</v>
      </c>
      <c r="AC164" t="s">
        <v>131</v>
      </c>
      <c r="AD164" t="s">
        <v>131</v>
      </c>
      <c r="AE164" t="s">
        <v>131</v>
      </c>
      <c r="AF164" t="s">
        <v>131</v>
      </c>
      <c r="AG164" t="s">
        <v>131</v>
      </c>
      <c r="AH164" t="s">
        <v>131</v>
      </c>
      <c r="AI164" t="s">
        <v>131</v>
      </c>
      <c r="AJ164">
        <v>0</v>
      </c>
      <c r="AK164" t="s">
        <v>131</v>
      </c>
      <c r="AL164" t="s">
        <v>132</v>
      </c>
      <c r="AM164" s="16">
        <f>IF(OR(AC164="Yes",K164="Info Request", K164="Side-Project"),0,(NETWORKDAYS(T164,U164,Holidays!A$2:A$13))-1)</f>
        <v>0</v>
      </c>
      <c r="AN164" s="16">
        <f>IF(OR(AC164="Yes",K164="Info Request", K164="Side-Project"),0,(NETWORKDAYS(U164,W164,Holidays!A$2:A$13))-1)</f>
        <v>0</v>
      </c>
      <c r="AO164" s="16">
        <f>IF(OR(V164="none"),0,((NETWORKDAYS(S164,V164,Holidays!A$2:A$13))-1))</f>
        <v>0</v>
      </c>
      <c r="AP164" s="16" t="b">
        <f t="shared" si="9"/>
        <v>1</v>
      </c>
      <c r="AQ164" s="16" t="b">
        <f t="shared" si="10"/>
        <v>1</v>
      </c>
      <c r="AR164" s="60" t="str">
        <f t="shared" si="11"/>
        <v>OK</v>
      </c>
      <c r="AS164" s="60" t="str">
        <f>IF(table_data[[#This Row],[Flagged-Issues]] = 0, "", table_data[[#This Row],[Flagged-Issues]])</f>
        <v/>
      </c>
    </row>
    <row r="165" spans="1:45" x14ac:dyDescent="0.25">
      <c r="A165" t="s">
        <v>104</v>
      </c>
      <c r="B165" t="s">
        <v>154</v>
      </c>
      <c r="C165" t="s">
        <v>122</v>
      </c>
      <c r="D165" s="65">
        <v>202504231614</v>
      </c>
      <c r="E165" t="s">
        <v>379</v>
      </c>
      <c r="F165" t="s">
        <v>134</v>
      </c>
      <c r="G165"/>
      <c r="H165" t="s">
        <v>380</v>
      </c>
      <c r="I165" t="s">
        <v>126</v>
      </c>
      <c r="J165" t="s">
        <v>151</v>
      </c>
      <c r="K165" t="s">
        <v>128</v>
      </c>
      <c r="L165">
        <v>2</v>
      </c>
      <c r="M165" t="s">
        <v>189</v>
      </c>
      <c r="N165">
        <v>2</v>
      </c>
      <c r="O165"/>
      <c r="P165"/>
      <c r="Q165"/>
      <c r="R165"/>
      <c r="S165" s="72">
        <v>45770</v>
      </c>
      <c r="T165" s="72">
        <v>45770</v>
      </c>
      <c r="U165" s="72">
        <v>45771</v>
      </c>
      <c r="V165" s="72" t="s">
        <v>130</v>
      </c>
      <c r="W165" s="72">
        <v>45775</v>
      </c>
      <c r="X165" s="72" t="s">
        <v>130</v>
      </c>
      <c r="Y165" t="s">
        <v>146</v>
      </c>
      <c r="Z165" t="s">
        <v>147</v>
      </c>
      <c r="AA165" t="s">
        <v>131</v>
      </c>
      <c r="AB165" t="s">
        <v>131</v>
      </c>
      <c r="AC165" t="s">
        <v>131</v>
      </c>
      <c r="AD165" t="s">
        <v>131</v>
      </c>
      <c r="AE165" t="s">
        <v>131</v>
      </c>
      <c r="AF165" t="s">
        <v>131</v>
      </c>
      <c r="AG165" t="s">
        <v>131</v>
      </c>
      <c r="AH165" t="s">
        <v>131</v>
      </c>
      <c r="AI165" t="s">
        <v>131</v>
      </c>
      <c r="AJ165">
        <v>0</v>
      </c>
      <c r="AK165" t="s">
        <v>131</v>
      </c>
      <c r="AL165" t="s">
        <v>148</v>
      </c>
      <c r="AM165" s="16">
        <f>IF(OR(AC165="Yes",K165="Info Request", K165="Side-Project"),0,(NETWORKDAYS(T165,U165,Holidays!A$2:A$13))-1)</f>
        <v>1</v>
      </c>
      <c r="AN165" s="16">
        <f>IF(OR(AC165="Yes",K165="Info Request", K165="Side-Project"),0,(NETWORKDAYS(U165,W165,Holidays!A$2:A$13))-1)</f>
        <v>2</v>
      </c>
      <c r="AO165" s="16">
        <f>IF(OR(V165="none"),0,((NETWORKDAYS(S165,V165,Holidays!A$2:A$13))-1))</f>
        <v>0</v>
      </c>
      <c r="AP165" s="16" t="b">
        <f t="shared" si="9"/>
        <v>1</v>
      </c>
      <c r="AQ165" s="16" t="b">
        <f t="shared" si="10"/>
        <v>1</v>
      </c>
      <c r="AR165" s="60" t="str">
        <f t="shared" si="11"/>
        <v>OK</v>
      </c>
      <c r="AS165" s="60" t="str">
        <f>IF(table_data[[#This Row],[Flagged-Issues]] = 0, "", table_data[[#This Row],[Flagged-Issues]])</f>
        <v/>
      </c>
    </row>
    <row r="166" spans="1:45" x14ac:dyDescent="0.25">
      <c r="A166" t="s">
        <v>104</v>
      </c>
      <c r="B166" t="s">
        <v>154</v>
      </c>
      <c r="C166" t="s">
        <v>122</v>
      </c>
      <c r="D166" s="65">
        <v>202504241427</v>
      </c>
      <c r="E166" t="s">
        <v>297</v>
      </c>
      <c r="F166" t="s">
        <v>134</v>
      </c>
      <c r="G166"/>
      <c r="H166" t="s">
        <v>381</v>
      </c>
      <c r="I166" t="s">
        <v>126</v>
      </c>
      <c r="J166" t="s">
        <v>136</v>
      </c>
      <c r="K166" t="s">
        <v>128</v>
      </c>
      <c r="L166">
        <v>1</v>
      </c>
      <c r="M166" t="s">
        <v>382</v>
      </c>
      <c r="N166">
        <v>1</v>
      </c>
      <c r="O166"/>
      <c r="P166"/>
      <c r="Q166"/>
      <c r="R166"/>
      <c r="S166" s="72">
        <v>45771</v>
      </c>
      <c r="T166" s="72">
        <v>45775</v>
      </c>
      <c r="U166" s="72">
        <v>45775</v>
      </c>
      <c r="V166" s="72" t="s">
        <v>130</v>
      </c>
      <c r="W166" s="72">
        <v>45775</v>
      </c>
      <c r="X166" s="72" t="s">
        <v>130</v>
      </c>
      <c r="Y166"/>
      <c r="Z166"/>
      <c r="AA166" t="s">
        <v>131</v>
      </c>
      <c r="AB166" t="s">
        <v>131</v>
      </c>
      <c r="AC166" t="s">
        <v>131</v>
      </c>
      <c r="AD166" t="s">
        <v>131</v>
      </c>
      <c r="AE166" t="s">
        <v>131</v>
      </c>
      <c r="AF166" t="s">
        <v>131</v>
      </c>
      <c r="AG166" t="s">
        <v>131</v>
      </c>
      <c r="AH166" t="s">
        <v>131</v>
      </c>
      <c r="AI166" t="s">
        <v>131</v>
      </c>
      <c r="AJ166">
        <v>0</v>
      </c>
      <c r="AK166" t="s">
        <v>131</v>
      </c>
      <c r="AL166" t="s">
        <v>132</v>
      </c>
      <c r="AM166" s="16">
        <f>IF(OR(AC166="Yes",K166="Info Request", K166="Side-Project"),0,(NETWORKDAYS(T166,U166,Holidays!A$2:A$13))-1)</f>
        <v>0</v>
      </c>
      <c r="AN166" s="16">
        <f>IF(OR(AC166="Yes",K166="Info Request", K166="Side-Project"),0,(NETWORKDAYS(U166,W166,Holidays!A$2:A$13))-1)</f>
        <v>0</v>
      </c>
      <c r="AO166" s="16">
        <f>IF(OR(V166="none"),0,((NETWORKDAYS(S166,V166,Holidays!A$2:A$13))-1))</f>
        <v>0</v>
      </c>
      <c r="AP166" s="16" t="b">
        <f t="shared" si="9"/>
        <v>1</v>
      </c>
      <c r="AQ166" s="16" t="b">
        <f t="shared" si="10"/>
        <v>1</v>
      </c>
      <c r="AR166" s="60" t="str">
        <f t="shared" si="11"/>
        <v>OK</v>
      </c>
      <c r="AS166" s="60" t="str">
        <f>IF(table_data[[#This Row],[Flagged-Issues]] = 0, "", table_data[[#This Row],[Flagged-Issues]])</f>
        <v/>
      </c>
    </row>
    <row r="167" spans="1:45" x14ac:dyDescent="0.25">
      <c r="A167" t="s">
        <v>104</v>
      </c>
      <c r="B167" t="s">
        <v>154</v>
      </c>
      <c r="C167" t="s">
        <v>122</v>
      </c>
      <c r="D167" s="65">
        <v>202504251457</v>
      </c>
      <c r="E167" t="s">
        <v>301</v>
      </c>
      <c r="F167" t="s">
        <v>134</v>
      </c>
      <c r="G167"/>
      <c r="H167" t="s">
        <v>383</v>
      </c>
      <c r="I167" t="s">
        <v>126</v>
      </c>
      <c r="J167" t="s">
        <v>136</v>
      </c>
      <c r="K167" t="s">
        <v>128</v>
      </c>
      <c r="L167">
        <v>2</v>
      </c>
      <c r="M167" t="s">
        <v>228</v>
      </c>
      <c r="N167">
        <v>4</v>
      </c>
      <c r="O167"/>
      <c r="P167"/>
      <c r="Q167"/>
      <c r="R167"/>
      <c r="S167" s="72">
        <v>45772</v>
      </c>
      <c r="T167" s="72">
        <v>45776</v>
      </c>
      <c r="U167" s="72">
        <v>45776</v>
      </c>
      <c r="V167" s="72" t="s">
        <v>130</v>
      </c>
      <c r="W167" s="72">
        <v>45776</v>
      </c>
      <c r="X167" s="72" t="s">
        <v>130</v>
      </c>
      <c r="Y167"/>
      <c r="Z167"/>
      <c r="AA167" t="s">
        <v>131</v>
      </c>
      <c r="AB167" t="s">
        <v>131</v>
      </c>
      <c r="AC167" t="s">
        <v>131</v>
      </c>
      <c r="AD167" t="s">
        <v>131</v>
      </c>
      <c r="AE167" t="s">
        <v>131</v>
      </c>
      <c r="AF167" t="s">
        <v>131</v>
      </c>
      <c r="AG167" t="s">
        <v>131</v>
      </c>
      <c r="AH167" t="s">
        <v>131</v>
      </c>
      <c r="AI167" t="s">
        <v>131</v>
      </c>
      <c r="AJ167">
        <v>0</v>
      </c>
      <c r="AK167" t="s">
        <v>131</v>
      </c>
      <c r="AL167" t="s">
        <v>132</v>
      </c>
      <c r="AM167" s="16">
        <f>IF(OR(AC167="Yes",K167="Info Request", K167="Side-Project"),0,(NETWORKDAYS(T167,U167,Holidays!A$2:A$13))-1)</f>
        <v>0</v>
      </c>
      <c r="AN167" s="16">
        <f>IF(OR(AC167="Yes",K167="Info Request", K167="Side-Project"),0,(NETWORKDAYS(U167,W167,Holidays!A$2:A$13))-1)</f>
        <v>0</v>
      </c>
      <c r="AO167" s="16">
        <f>IF(OR(V167="none"),0,((NETWORKDAYS(S167,V167,Holidays!A$2:A$13))-1))</f>
        <v>0</v>
      </c>
      <c r="AP167" s="16" t="b">
        <f t="shared" si="9"/>
        <v>1</v>
      </c>
      <c r="AQ167" s="16" t="b">
        <f t="shared" si="10"/>
        <v>1</v>
      </c>
      <c r="AR167" s="60" t="str">
        <f t="shared" si="11"/>
        <v>OK</v>
      </c>
      <c r="AS167" s="60" t="str">
        <f>IF(table_data[[#This Row],[Flagged-Issues]] = 0, "", table_data[[#This Row],[Flagged-Issues]])</f>
        <v/>
      </c>
    </row>
    <row r="168" spans="1:45" x14ac:dyDescent="0.25">
      <c r="A168" t="s">
        <v>29</v>
      </c>
      <c r="B168" t="s">
        <v>154</v>
      </c>
      <c r="C168" t="s">
        <v>122</v>
      </c>
      <c r="D168" s="65">
        <v>202504010857</v>
      </c>
      <c r="E168" t="s">
        <v>223</v>
      </c>
      <c r="F168" t="s">
        <v>173</v>
      </c>
      <c r="G168"/>
      <c r="H168" t="s">
        <v>384</v>
      </c>
      <c r="I168" t="s">
        <v>126</v>
      </c>
      <c r="J168" t="s">
        <v>206</v>
      </c>
      <c r="K168" t="s">
        <v>128</v>
      </c>
      <c r="L168">
        <v>2</v>
      </c>
      <c r="M168" t="s">
        <v>143</v>
      </c>
      <c r="N168">
        <v>2</v>
      </c>
      <c r="O168"/>
      <c r="P168">
        <v>4</v>
      </c>
      <c r="Q168"/>
      <c r="R168"/>
      <c r="S168" s="72">
        <v>45748</v>
      </c>
      <c r="T168" s="72">
        <v>45750</v>
      </c>
      <c r="U168" s="72">
        <v>45750</v>
      </c>
      <c r="V168" s="72" t="s">
        <v>130</v>
      </c>
      <c r="W168" s="72">
        <v>45750</v>
      </c>
      <c r="X168" s="72" t="s">
        <v>130</v>
      </c>
      <c r="Y168"/>
      <c r="Z168"/>
      <c r="AA168" t="s">
        <v>131</v>
      </c>
      <c r="AB168" t="s">
        <v>131</v>
      </c>
      <c r="AC168" t="s">
        <v>131</v>
      </c>
      <c r="AD168" t="s">
        <v>131</v>
      </c>
      <c r="AE168" t="s">
        <v>131</v>
      </c>
      <c r="AF168" t="s">
        <v>131</v>
      </c>
      <c r="AG168" t="s">
        <v>131</v>
      </c>
      <c r="AH168" t="s">
        <v>131</v>
      </c>
      <c r="AI168" t="s">
        <v>131</v>
      </c>
      <c r="AJ168">
        <v>0</v>
      </c>
      <c r="AK168" t="s">
        <v>131</v>
      </c>
      <c r="AL168" t="s">
        <v>132</v>
      </c>
      <c r="AM168" s="16">
        <f>IF(OR(AC168="Yes",K168="Info Request", K168="Side-Project"),0,(NETWORKDAYS(T168,U168,Holidays!A$2:A$13))-1)</f>
        <v>0</v>
      </c>
      <c r="AN168" s="16">
        <f>IF(OR(AC168="Yes",K168="Info Request", K168="Side-Project"),0,(NETWORKDAYS(U168,W168,Holidays!A$2:A$13))-1)</f>
        <v>0</v>
      </c>
      <c r="AO168" s="16">
        <f>IF(OR(V168="none"),0,((NETWORKDAYS(S168,V168,Holidays!A$2:A$13))-1))</f>
        <v>0</v>
      </c>
      <c r="AP168" s="16" t="b">
        <f t="shared" si="9"/>
        <v>1</v>
      </c>
      <c r="AQ168" s="16" t="b">
        <f t="shared" si="10"/>
        <v>1</v>
      </c>
      <c r="AR168" s="60" t="str">
        <f t="shared" si="11"/>
        <v>OK</v>
      </c>
      <c r="AS168" s="60" t="str">
        <f>IF(table_data[[#This Row],[Flagged-Issues]] = 0, "", table_data[[#This Row],[Flagged-Issues]])</f>
        <v/>
      </c>
    </row>
    <row r="169" spans="1:45" x14ac:dyDescent="0.25">
      <c r="A169" t="s">
        <v>29</v>
      </c>
      <c r="B169" t="s">
        <v>154</v>
      </c>
      <c r="C169" t="s">
        <v>122</v>
      </c>
      <c r="D169" s="65">
        <v>202504011041</v>
      </c>
      <c r="E169" t="s">
        <v>223</v>
      </c>
      <c r="F169" t="s">
        <v>173</v>
      </c>
      <c r="G169"/>
      <c r="H169" t="s">
        <v>385</v>
      </c>
      <c r="I169" t="s">
        <v>126</v>
      </c>
      <c r="J169" t="s">
        <v>127</v>
      </c>
      <c r="K169" t="s">
        <v>128</v>
      </c>
      <c r="L169">
        <v>2</v>
      </c>
      <c r="M169" t="s">
        <v>162</v>
      </c>
      <c r="N169">
        <v>2</v>
      </c>
      <c r="O169"/>
      <c r="P169"/>
      <c r="Q169"/>
      <c r="R169"/>
      <c r="S169" s="72">
        <v>45748</v>
      </c>
      <c r="T169" s="72">
        <v>45749</v>
      </c>
      <c r="U169" s="72">
        <v>45749</v>
      </c>
      <c r="V169" s="72" t="s">
        <v>130</v>
      </c>
      <c r="W169" s="72">
        <v>45754</v>
      </c>
      <c r="X169" s="72" t="s">
        <v>130</v>
      </c>
      <c r="Y169" t="s">
        <v>146</v>
      </c>
      <c r="Z169" t="s">
        <v>147</v>
      </c>
      <c r="AA169" t="s">
        <v>131</v>
      </c>
      <c r="AB169" t="s">
        <v>131</v>
      </c>
      <c r="AC169" t="s">
        <v>131</v>
      </c>
      <c r="AD169" t="s">
        <v>131</v>
      </c>
      <c r="AE169" t="s">
        <v>131</v>
      </c>
      <c r="AF169" t="s">
        <v>131</v>
      </c>
      <c r="AG169" t="s">
        <v>132</v>
      </c>
      <c r="AH169" t="s">
        <v>131</v>
      </c>
      <c r="AI169" t="s">
        <v>132</v>
      </c>
      <c r="AJ169">
        <v>0</v>
      </c>
      <c r="AK169" t="s">
        <v>131</v>
      </c>
      <c r="AL169" t="s">
        <v>148</v>
      </c>
      <c r="AM169" s="16">
        <f>IF(OR(AC169="Yes",K169="Info Request", K169="Side-Project"),0,(NETWORKDAYS(T169,U169,Holidays!A$2:A$13))-1)</f>
        <v>0</v>
      </c>
      <c r="AN169" s="16">
        <f>IF(OR(AC169="Yes",K169="Info Request", K169="Side-Project"),0,(NETWORKDAYS(U169,W169,Holidays!A$2:A$13))-1)</f>
        <v>3</v>
      </c>
      <c r="AO169" s="16">
        <f>IF(OR(V169="none"),0,((NETWORKDAYS(S169,V169,Holidays!A$2:A$13))-1))</f>
        <v>0</v>
      </c>
      <c r="AP169" s="16" t="b">
        <f t="shared" si="9"/>
        <v>1</v>
      </c>
      <c r="AQ169" s="16" t="b">
        <f t="shared" si="10"/>
        <v>1</v>
      </c>
      <c r="AR169" s="60" t="str">
        <f t="shared" si="11"/>
        <v>OK</v>
      </c>
      <c r="AS169" s="60" t="str">
        <f>IF(table_data[[#This Row],[Flagged-Issues]] = 0, "", table_data[[#This Row],[Flagged-Issues]])</f>
        <v/>
      </c>
    </row>
    <row r="170" spans="1:45" x14ac:dyDescent="0.25">
      <c r="A170" t="s">
        <v>104</v>
      </c>
      <c r="B170" t="s">
        <v>154</v>
      </c>
      <c r="C170" t="s">
        <v>122</v>
      </c>
      <c r="D170" s="65">
        <v>202503311505</v>
      </c>
      <c r="E170" t="s">
        <v>253</v>
      </c>
      <c r="F170" t="s">
        <v>134</v>
      </c>
      <c r="G170"/>
      <c r="H170" t="s">
        <v>386</v>
      </c>
      <c r="I170" t="s">
        <v>126</v>
      </c>
      <c r="J170" t="s">
        <v>127</v>
      </c>
      <c r="K170" t="s">
        <v>128</v>
      </c>
      <c r="L170">
        <v>2</v>
      </c>
      <c r="M170" t="s">
        <v>158</v>
      </c>
      <c r="N170">
        <v>4</v>
      </c>
      <c r="O170"/>
      <c r="P170"/>
      <c r="Q170"/>
      <c r="R170"/>
      <c r="S170" s="72">
        <v>45747</v>
      </c>
      <c r="T170" s="72">
        <v>45749</v>
      </c>
      <c r="U170" s="72">
        <v>45749</v>
      </c>
      <c r="V170" s="72" t="s">
        <v>130</v>
      </c>
      <c r="W170" s="72">
        <v>45754</v>
      </c>
      <c r="X170" s="72" t="s">
        <v>130</v>
      </c>
      <c r="Y170" t="s">
        <v>146</v>
      </c>
      <c r="Z170" t="s">
        <v>147</v>
      </c>
      <c r="AA170" t="s">
        <v>131</v>
      </c>
      <c r="AB170" t="s">
        <v>131</v>
      </c>
      <c r="AC170" t="s">
        <v>131</v>
      </c>
      <c r="AD170" t="s">
        <v>131</v>
      </c>
      <c r="AE170" t="s">
        <v>131</v>
      </c>
      <c r="AF170" t="s">
        <v>131</v>
      </c>
      <c r="AG170" t="s">
        <v>132</v>
      </c>
      <c r="AH170" t="s">
        <v>131</v>
      </c>
      <c r="AI170" t="s">
        <v>132</v>
      </c>
      <c r="AJ170">
        <v>0</v>
      </c>
      <c r="AK170" t="s">
        <v>131</v>
      </c>
      <c r="AL170" t="s">
        <v>148</v>
      </c>
      <c r="AM170" s="16">
        <f>IF(OR(AC170="Yes",K170="Info Request", K170="Side-Project"),0,(NETWORKDAYS(T170,U170,Holidays!A$2:A$13))-1)</f>
        <v>0</v>
      </c>
      <c r="AN170" s="16">
        <f>IF(OR(AC170="Yes",K170="Info Request", K170="Side-Project"),0,(NETWORKDAYS(U170,W170,Holidays!A$2:A$13))-1)</f>
        <v>3</v>
      </c>
      <c r="AO170" s="16">
        <f>IF(OR(V170="none"),0,((NETWORKDAYS(S170,V170,Holidays!A$2:A$13))-1))</f>
        <v>0</v>
      </c>
      <c r="AP170" s="16" t="b">
        <f t="shared" si="9"/>
        <v>1</v>
      </c>
      <c r="AQ170" s="16" t="b">
        <f t="shared" si="10"/>
        <v>1</v>
      </c>
      <c r="AR170" s="60" t="str">
        <f t="shared" si="11"/>
        <v>OK</v>
      </c>
      <c r="AS170" s="60" t="str">
        <f>IF(table_data[[#This Row],[Flagged-Issues]] = 0, "", table_data[[#This Row],[Flagged-Issues]])</f>
        <v/>
      </c>
    </row>
    <row r="171" spans="1:45" x14ac:dyDescent="0.25">
      <c r="A171" t="s">
        <v>104</v>
      </c>
      <c r="B171" t="s">
        <v>154</v>
      </c>
      <c r="C171" t="s">
        <v>122</v>
      </c>
      <c r="D171" s="65">
        <v>202504071112</v>
      </c>
      <c r="E171" t="s">
        <v>253</v>
      </c>
      <c r="F171" t="s">
        <v>134</v>
      </c>
      <c r="G171"/>
      <c r="H171" t="s">
        <v>387</v>
      </c>
      <c r="I171" t="s">
        <v>126</v>
      </c>
      <c r="J171" t="s">
        <v>136</v>
      </c>
      <c r="K171" t="s">
        <v>128</v>
      </c>
      <c r="L171">
        <v>1</v>
      </c>
      <c r="M171" t="s">
        <v>137</v>
      </c>
      <c r="N171">
        <v>2</v>
      </c>
      <c r="O171"/>
      <c r="P171"/>
      <c r="Q171"/>
      <c r="R171"/>
      <c r="S171" s="72">
        <v>45754</v>
      </c>
      <c r="T171" s="72">
        <v>45754</v>
      </c>
      <c r="U171" s="72">
        <v>45754</v>
      </c>
      <c r="V171" s="72" t="s">
        <v>130</v>
      </c>
      <c r="W171" s="72">
        <v>45754</v>
      </c>
      <c r="X171" s="72" t="s">
        <v>130</v>
      </c>
      <c r="Y171"/>
      <c r="Z171"/>
      <c r="AA171" t="s">
        <v>131</v>
      </c>
      <c r="AB171" t="s">
        <v>131</v>
      </c>
      <c r="AC171" t="s">
        <v>131</v>
      </c>
      <c r="AD171" t="s">
        <v>131</v>
      </c>
      <c r="AE171" t="s">
        <v>131</v>
      </c>
      <c r="AF171" t="s">
        <v>131</v>
      </c>
      <c r="AG171" t="s">
        <v>131</v>
      </c>
      <c r="AH171" t="s">
        <v>131</v>
      </c>
      <c r="AI171" t="s">
        <v>131</v>
      </c>
      <c r="AJ171">
        <v>0</v>
      </c>
      <c r="AK171" t="s">
        <v>131</v>
      </c>
      <c r="AL171" t="s">
        <v>132</v>
      </c>
      <c r="AM171" s="16">
        <f>IF(OR(AC171="Yes",K171="Info Request", K171="Side-Project"),0,(NETWORKDAYS(T171,U171,Holidays!A$2:A$13))-1)</f>
        <v>0</v>
      </c>
      <c r="AN171" s="16">
        <f>IF(OR(AC171="Yes",K171="Info Request", K171="Side-Project"),0,(NETWORKDAYS(U171,W171,Holidays!A$2:A$13))-1)</f>
        <v>0</v>
      </c>
      <c r="AO171" s="16">
        <f>IF(OR(V171="none"),0,((NETWORKDAYS(S171,V171,Holidays!A$2:A$13))-1))</f>
        <v>0</v>
      </c>
      <c r="AP171" s="16" t="b">
        <f t="shared" si="9"/>
        <v>1</v>
      </c>
      <c r="AQ171" s="16" t="b">
        <f t="shared" si="10"/>
        <v>1</v>
      </c>
      <c r="AR171" s="60" t="str">
        <f t="shared" si="11"/>
        <v>OK</v>
      </c>
      <c r="AS171" s="60" t="str">
        <f>IF(table_data[[#This Row],[Flagged-Issues]] = 0, "", table_data[[#This Row],[Flagged-Issues]])</f>
        <v/>
      </c>
    </row>
    <row r="172" spans="1:45" x14ac:dyDescent="0.25">
      <c r="A172" t="s">
        <v>29</v>
      </c>
      <c r="B172" t="s">
        <v>154</v>
      </c>
      <c r="C172" t="s">
        <v>122</v>
      </c>
      <c r="D172" s="65">
        <v>202504030845</v>
      </c>
      <c r="E172" t="s">
        <v>347</v>
      </c>
      <c r="F172" t="s">
        <v>173</v>
      </c>
      <c r="G172"/>
      <c r="H172" t="s">
        <v>388</v>
      </c>
      <c r="I172" t="s">
        <v>126</v>
      </c>
      <c r="J172" t="s">
        <v>136</v>
      </c>
      <c r="K172" t="s">
        <v>128</v>
      </c>
      <c r="L172">
        <v>2</v>
      </c>
      <c r="M172" t="s">
        <v>137</v>
      </c>
      <c r="N172">
        <v>2</v>
      </c>
      <c r="O172"/>
      <c r="P172"/>
      <c r="Q172"/>
      <c r="R172"/>
      <c r="S172" s="72">
        <v>45750</v>
      </c>
      <c r="T172" s="72">
        <v>45751</v>
      </c>
      <c r="U172" s="72">
        <v>45751</v>
      </c>
      <c r="V172" s="72" t="s">
        <v>130</v>
      </c>
      <c r="W172" s="72">
        <v>45755</v>
      </c>
      <c r="X172" s="72" t="s">
        <v>130</v>
      </c>
      <c r="Y172"/>
      <c r="Z172"/>
      <c r="AA172" t="s">
        <v>131</v>
      </c>
      <c r="AB172" t="s">
        <v>131</v>
      </c>
      <c r="AC172" t="s">
        <v>131</v>
      </c>
      <c r="AD172" t="s">
        <v>131</v>
      </c>
      <c r="AE172" t="s">
        <v>131</v>
      </c>
      <c r="AF172" t="s">
        <v>131</v>
      </c>
      <c r="AG172" t="s">
        <v>131</v>
      </c>
      <c r="AH172" t="s">
        <v>131</v>
      </c>
      <c r="AI172" t="s">
        <v>131</v>
      </c>
      <c r="AJ172">
        <v>0</v>
      </c>
      <c r="AK172" t="s">
        <v>131</v>
      </c>
      <c r="AL172" t="s">
        <v>132</v>
      </c>
      <c r="AM172" s="16">
        <f>IF(OR(AC172="Yes",K172="Info Request", K172="Side-Project"),0,(NETWORKDAYS(T172,U172,Holidays!A$2:A$13))-1)</f>
        <v>0</v>
      </c>
      <c r="AN172" s="16">
        <f>IF(OR(AC172="Yes",K172="Info Request", K172="Side-Project"),0,(NETWORKDAYS(U172,W172,Holidays!A$2:A$13))-1)</f>
        <v>2</v>
      </c>
      <c r="AO172" s="16">
        <f>IF(OR(V172="none"),0,((NETWORKDAYS(S172,V172,Holidays!A$2:A$13))-1))</f>
        <v>0</v>
      </c>
      <c r="AP172" s="16" t="b">
        <f t="shared" si="9"/>
        <v>1</v>
      </c>
      <c r="AQ172" s="16" t="b">
        <f t="shared" si="10"/>
        <v>1</v>
      </c>
      <c r="AR172" s="60" t="str">
        <f t="shared" si="11"/>
        <v>OK</v>
      </c>
      <c r="AS172" s="60" t="str">
        <f>IF(table_data[[#This Row],[Flagged-Issues]] = 0, "", table_data[[#This Row],[Flagged-Issues]])</f>
        <v/>
      </c>
    </row>
    <row r="173" spans="1:45" x14ac:dyDescent="0.25">
      <c r="A173" t="s">
        <v>29</v>
      </c>
      <c r="B173" t="s">
        <v>121</v>
      </c>
      <c r="C173" t="s">
        <v>122</v>
      </c>
      <c r="D173" s="65">
        <v>202504020825</v>
      </c>
      <c r="E173" t="s">
        <v>368</v>
      </c>
      <c r="F173" t="s">
        <v>173</v>
      </c>
      <c r="G173"/>
      <c r="H173" t="s">
        <v>389</v>
      </c>
      <c r="I173" t="s">
        <v>126</v>
      </c>
      <c r="J173" t="s">
        <v>157</v>
      </c>
      <c r="K173" t="s">
        <v>128</v>
      </c>
      <c r="L173">
        <v>2</v>
      </c>
      <c r="M173" t="s">
        <v>189</v>
      </c>
      <c r="N173">
        <v>2</v>
      </c>
      <c r="O173">
        <v>2</v>
      </c>
      <c r="P173"/>
      <c r="Q173">
        <v>2</v>
      </c>
      <c r="R173"/>
      <c r="S173" s="72">
        <v>45749</v>
      </c>
      <c r="T173" s="72">
        <v>45751</v>
      </c>
      <c r="U173" s="72">
        <v>45751</v>
      </c>
      <c r="V173" s="72" t="s">
        <v>130</v>
      </c>
      <c r="W173" s="72">
        <v>45754</v>
      </c>
      <c r="X173" s="72" t="s">
        <v>130</v>
      </c>
      <c r="Y173" t="s">
        <v>146</v>
      </c>
      <c r="Z173" t="s">
        <v>147</v>
      </c>
      <c r="AA173" t="s">
        <v>131</v>
      </c>
      <c r="AB173" t="s">
        <v>131</v>
      </c>
      <c r="AC173" t="s">
        <v>131</v>
      </c>
      <c r="AD173" t="s">
        <v>131</v>
      </c>
      <c r="AE173" t="s">
        <v>131</v>
      </c>
      <c r="AF173" t="s">
        <v>131</v>
      </c>
      <c r="AG173" t="s">
        <v>131</v>
      </c>
      <c r="AH173" t="s">
        <v>131</v>
      </c>
      <c r="AI173" t="s">
        <v>131</v>
      </c>
      <c r="AJ173">
        <v>0</v>
      </c>
      <c r="AK173" t="s">
        <v>132</v>
      </c>
      <c r="AL173" t="s">
        <v>148</v>
      </c>
      <c r="AM173" s="16">
        <f>IF(OR(AC173="Yes",K173="Info Request", K173="Side-Project"),0,(NETWORKDAYS(T173,U173,Holidays!A$2:A$13))-1)</f>
        <v>0</v>
      </c>
      <c r="AN173" s="16">
        <f>IF(OR(AC173="Yes",K173="Info Request", K173="Side-Project"),0,(NETWORKDAYS(U173,W173,Holidays!A$2:A$13))-1)</f>
        <v>1</v>
      </c>
      <c r="AO173" s="16">
        <f>IF(OR(V173="none"),0,((NETWORKDAYS(S173,V173,Holidays!A$2:A$13))-1))</f>
        <v>0</v>
      </c>
      <c r="AP173" s="16" t="b">
        <f t="shared" si="9"/>
        <v>1</v>
      </c>
      <c r="AQ173" s="16" t="b">
        <f t="shared" si="10"/>
        <v>1</v>
      </c>
      <c r="AR173" s="60" t="str">
        <f t="shared" si="11"/>
        <v>OK</v>
      </c>
      <c r="AS173" s="60" t="str">
        <f>IF(table_data[[#This Row],[Flagged-Issues]] = 0, "", table_data[[#This Row],[Flagged-Issues]])</f>
        <v/>
      </c>
    </row>
    <row r="174" spans="1:45" x14ac:dyDescent="0.25">
      <c r="A174" t="s">
        <v>29</v>
      </c>
      <c r="B174" t="s">
        <v>121</v>
      </c>
      <c r="C174" t="s">
        <v>122</v>
      </c>
      <c r="D174" s="65">
        <v>202504081112</v>
      </c>
      <c r="E174" t="s">
        <v>246</v>
      </c>
      <c r="F174" t="s">
        <v>173</v>
      </c>
      <c r="G174"/>
      <c r="H174" t="s">
        <v>390</v>
      </c>
      <c r="I174" t="s">
        <v>126</v>
      </c>
      <c r="J174" t="s">
        <v>145</v>
      </c>
      <c r="K174" t="s">
        <v>128</v>
      </c>
      <c r="L174">
        <v>2</v>
      </c>
      <c r="M174" t="s">
        <v>141</v>
      </c>
      <c r="N174">
        <v>2</v>
      </c>
      <c r="O174"/>
      <c r="P174"/>
      <c r="Q174">
        <v>1</v>
      </c>
      <c r="R174"/>
      <c r="S174" s="72">
        <v>45755</v>
      </c>
      <c r="T174" s="72">
        <v>45756</v>
      </c>
      <c r="U174" s="72">
        <v>45756</v>
      </c>
      <c r="V174" s="72" t="s">
        <v>130</v>
      </c>
      <c r="W174" s="72">
        <v>45756</v>
      </c>
      <c r="X174" s="72" t="s">
        <v>130</v>
      </c>
      <c r="Y174"/>
      <c r="Z174"/>
      <c r="AA174" t="s">
        <v>131</v>
      </c>
      <c r="AB174" t="s">
        <v>132</v>
      </c>
      <c r="AC174" t="s">
        <v>131</v>
      </c>
      <c r="AD174" t="s">
        <v>131</v>
      </c>
      <c r="AE174" t="s">
        <v>131</v>
      </c>
      <c r="AF174" t="s">
        <v>131</v>
      </c>
      <c r="AG174" t="s">
        <v>131</v>
      </c>
      <c r="AH174" t="s">
        <v>131</v>
      </c>
      <c r="AI174" t="s">
        <v>131</v>
      </c>
      <c r="AJ174">
        <v>0</v>
      </c>
      <c r="AK174" t="s">
        <v>131</v>
      </c>
      <c r="AL174" t="s">
        <v>132</v>
      </c>
      <c r="AM174" s="16">
        <f>IF(OR(AC174="Yes",K174="Info Request", K174="Side-Project"),0,(NETWORKDAYS(T174,U174,Holidays!A$2:A$13))-1)</f>
        <v>0</v>
      </c>
      <c r="AN174" s="16">
        <f>IF(OR(AC174="Yes",K174="Info Request", K174="Side-Project"),0,(NETWORKDAYS(U174,W174,Holidays!A$2:A$13))-1)</f>
        <v>0</v>
      </c>
      <c r="AO174" s="16">
        <f>IF(OR(V174="none"),0,((NETWORKDAYS(S174,V174,Holidays!A$2:A$13))-1))</f>
        <v>0</v>
      </c>
      <c r="AP174" s="16" t="b">
        <f t="shared" si="9"/>
        <v>1</v>
      </c>
      <c r="AQ174" s="16" t="b">
        <f t="shared" si="10"/>
        <v>1</v>
      </c>
      <c r="AR174" s="60" t="str">
        <f t="shared" si="11"/>
        <v>OK</v>
      </c>
      <c r="AS174" s="60" t="str">
        <f>IF(table_data[[#This Row],[Flagged-Issues]] = 0, "", table_data[[#This Row],[Flagged-Issues]])</f>
        <v/>
      </c>
    </row>
    <row r="175" spans="1:45" x14ac:dyDescent="0.25">
      <c r="A175" t="s">
        <v>29</v>
      </c>
      <c r="B175" t="s">
        <v>154</v>
      </c>
      <c r="C175" t="s">
        <v>122</v>
      </c>
      <c r="D175" s="65">
        <v>202504041346</v>
      </c>
      <c r="E175" t="s">
        <v>215</v>
      </c>
      <c r="F175" t="s">
        <v>173</v>
      </c>
      <c r="G175"/>
      <c r="H175" t="s">
        <v>391</v>
      </c>
      <c r="I175" t="s">
        <v>126</v>
      </c>
      <c r="J175" t="s">
        <v>151</v>
      </c>
      <c r="K175" t="s">
        <v>128</v>
      </c>
      <c r="L175">
        <v>2</v>
      </c>
      <c r="M175" t="s">
        <v>189</v>
      </c>
      <c r="N175">
        <v>2</v>
      </c>
      <c r="O175"/>
      <c r="P175"/>
      <c r="Q175"/>
      <c r="R175"/>
      <c r="S175" s="72">
        <v>45751</v>
      </c>
      <c r="T175" s="72">
        <v>45751</v>
      </c>
      <c r="U175" s="72">
        <v>45751</v>
      </c>
      <c r="V175" s="72" t="s">
        <v>130</v>
      </c>
      <c r="W175" s="72">
        <v>45756</v>
      </c>
      <c r="X175" s="72" t="s">
        <v>130</v>
      </c>
      <c r="Y175"/>
      <c r="Z175"/>
      <c r="AA175" t="s">
        <v>131</v>
      </c>
      <c r="AB175" t="s">
        <v>131</v>
      </c>
      <c r="AC175" t="s">
        <v>131</v>
      </c>
      <c r="AD175" t="s">
        <v>131</v>
      </c>
      <c r="AE175" t="s">
        <v>131</v>
      </c>
      <c r="AF175" t="s">
        <v>131</v>
      </c>
      <c r="AG175" t="s">
        <v>131</v>
      </c>
      <c r="AH175" t="s">
        <v>131</v>
      </c>
      <c r="AI175" t="s">
        <v>132</v>
      </c>
      <c r="AJ175">
        <v>0</v>
      </c>
      <c r="AK175" t="s">
        <v>131</v>
      </c>
      <c r="AL175" t="s">
        <v>132</v>
      </c>
      <c r="AM175" s="16">
        <f>IF(OR(AC175="Yes",K175="Info Request", K175="Side-Project"),0,(NETWORKDAYS(T175,U175,Holidays!A$2:A$13))-1)</f>
        <v>0</v>
      </c>
      <c r="AN175" s="16">
        <f>IF(OR(AC175="Yes",K175="Info Request", K175="Side-Project"),0,(NETWORKDAYS(U175,W175,Holidays!A$2:A$13))-1)</f>
        <v>3</v>
      </c>
      <c r="AO175" s="16">
        <f>IF(OR(V175="none"),0,((NETWORKDAYS(S175,V175,Holidays!A$2:A$13))-1))</f>
        <v>0</v>
      </c>
      <c r="AP175" s="16" t="b">
        <f t="shared" si="9"/>
        <v>1</v>
      </c>
      <c r="AQ175" s="16" t="b">
        <f t="shared" si="10"/>
        <v>1</v>
      </c>
      <c r="AR175" s="60" t="str">
        <f t="shared" si="11"/>
        <v>OK</v>
      </c>
      <c r="AS175" s="60" t="str">
        <f>IF(table_data[[#This Row],[Flagged-Issues]] = 0, "", table_data[[#This Row],[Flagged-Issues]])</f>
        <v/>
      </c>
    </row>
    <row r="176" spans="1:45" x14ac:dyDescent="0.25">
      <c r="A176" t="s">
        <v>104</v>
      </c>
      <c r="B176" t="s">
        <v>154</v>
      </c>
      <c r="C176" t="s">
        <v>122</v>
      </c>
      <c r="D176" s="65">
        <v>202503311032</v>
      </c>
      <c r="E176" t="s">
        <v>279</v>
      </c>
      <c r="F176" t="s">
        <v>134</v>
      </c>
      <c r="G176"/>
      <c r="H176" t="s">
        <v>392</v>
      </c>
      <c r="I176" t="s">
        <v>126</v>
      </c>
      <c r="J176" t="s">
        <v>206</v>
      </c>
      <c r="K176" t="s">
        <v>207</v>
      </c>
      <c r="L176">
        <v>1</v>
      </c>
      <c r="M176" t="s">
        <v>143</v>
      </c>
      <c r="N176">
        <v>1</v>
      </c>
      <c r="O176"/>
      <c r="P176"/>
      <c r="Q176">
        <v>1</v>
      </c>
      <c r="R176"/>
      <c r="S176" s="72">
        <v>45747</v>
      </c>
      <c r="T176" s="72">
        <v>45749</v>
      </c>
      <c r="U176" s="72">
        <v>45749</v>
      </c>
      <c r="V176" s="72" t="s">
        <v>130</v>
      </c>
      <c r="W176" s="72">
        <v>45750</v>
      </c>
      <c r="X176" s="72" t="s">
        <v>130</v>
      </c>
      <c r="Y176"/>
      <c r="Z176"/>
      <c r="AA176" t="s">
        <v>131</v>
      </c>
      <c r="AB176" t="s">
        <v>131</v>
      </c>
      <c r="AC176" t="s">
        <v>131</v>
      </c>
      <c r="AD176" t="s">
        <v>131</v>
      </c>
      <c r="AE176" t="s">
        <v>131</v>
      </c>
      <c r="AF176" t="s">
        <v>131</v>
      </c>
      <c r="AG176" t="s">
        <v>131</v>
      </c>
      <c r="AH176" t="s">
        <v>131</v>
      </c>
      <c r="AI176" t="s">
        <v>132</v>
      </c>
      <c r="AJ176">
        <v>0</v>
      </c>
      <c r="AK176" t="s">
        <v>131</v>
      </c>
      <c r="AL176" t="s">
        <v>132</v>
      </c>
      <c r="AM176" s="16">
        <f>IF(OR(AC176="Yes",K176="Info Request", K176="Side-Project"),0,(NETWORKDAYS(T176,U176,Holidays!A$2:A$13))-1)</f>
        <v>0</v>
      </c>
      <c r="AN176" s="16">
        <f>IF(OR(AC176="Yes",K176="Info Request", K176="Side-Project"),0,(NETWORKDAYS(U176,W176,Holidays!A$2:A$13))-1)</f>
        <v>1</v>
      </c>
      <c r="AO176" s="16">
        <f>IF(OR(V176="none"),0,((NETWORKDAYS(S176,V176,Holidays!A$2:A$13))-1))</f>
        <v>0</v>
      </c>
      <c r="AP176" s="16" t="b">
        <f t="shared" si="9"/>
        <v>1</v>
      </c>
      <c r="AQ176" s="16" t="b">
        <f t="shared" si="10"/>
        <v>1</v>
      </c>
      <c r="AR176" s="60" t="str">
        <f t="shared" si="11"/>
        <v>OK</v>
      </c>
      <c r="AS176" s="60" t="str">
        <f>IF(table_data[[#This Row],[Flagged-Issues]] = 0, "", table_data[[#This Row],[Flagged-Issues]])</f>
        <v/>
      </c>
    </row>
    <row r="177" spans="1:45" x14ac:dyDescent="0.25">
      <c r="A177" t="s">
        <v>104</v>
      </c>
      <c r="B177" t="s">
        <v>154</v>
      </c>
      <c r="C177" t="s">
        <v>122</v>
      </c>
      <c r="D177" s="65">
        <v>202504011031</v>
      </c>
      <c r="E177" t="s">
        <v>279</v>
      </c>
      <c r="F177" t="s">
        <v>134</v>
      </c>
      <c r="G177"/>
      <c r="H177" t="s">
        <v>393</v>
      </c>
      <c r="I177" t="s">
        <v>126</v>
      </c>
      <c r="J177" t="s">
        <v>136</v>
      </c>
      <c r="K177" t="s">
        <v>128</v>
      </c>
      <c r="L177">
        <v>2</v>
      </c>
      <c r="M177" t="s">
        <v>137</v>
      </c>
      <c r="N177">
        <v>2</v>
      </c>
      <c r="O177"/>
      <c r="P177"/>
      <c r="Q177"/>
      <c r="R177"/>
      <c r="S177" s="72">
        <v>45748</v>
      </c>
      <c r="T177" s="72">
        <v>45749</v>
      </c>
      <c r="U177" s="72">
        <v>45749</v>
      </c>
      <c r="V177" s="72" t="s">
        <v>130</v>
      </c>
      <c r="W177" s="72">
        <v>45749</v>
      </c>
      <c r="X177" s="72" t="s">
        <v>130</v>
      </c>
      <c r="Y177"/>
      <c r="Z177"/>
      <c r="AA177" t="s">
        <v>131</v>
      </c>
      <c r="AB177" t="s">
        <v>131</v>
      </c>
      <c r="AC177" t="s">
        <v>131</v>
      </c>
      <c r="AD177" t="s">
        <v>131</v>
      </c>
      <c r="AE177" t="s">
        <v>131</v>
      </c>
      <c r="AF177" t="s">
        <v>131</v>
      </c>
      <c r="AG177" t="s">
        <v>131</v>
      </c>
      <c r="AH177" t="s">
        <v>131</v>
      </c>
      <c r="AI177" t="s">
        <v>131</v>
      </c>
      <c r="AJ177">
        <v>0</v>
      </c>
      <c r="AK177" t="s">
        <v>131</v>
      </c>
      <c r="AL177" t="s">
        <v>132</v>
      </c>
      <c r="AM177" s="16">
        <f>IF(OR(AC177="Yes",K177="Info Request", K177="Side-Project"),0,(NETWORKDAYS(T177,U177,Holidays!A$2:A$13))-1)</f>
        <v>0</v>
      </c>
      <c r="AN177" s="16">
        <f>IF(OR(AC177="Yes",K177="Info Request", K177="Side-Project"),0,(NETWORKDAYS(U177,W177,Holidays!A$2:A$13))-1)</f>
        <v>0</v>
      </c>
      <c r="AO177" s="16">
        <f>IF(OR(V177="none"),0,((NETWORKDAYS(S177,V177,Holidays!A$2:A$13))-1))</f>
        <v>0</v>
      </c>
      <c r="AP177" s="16" t="b">
        <f t="shared" si="9"/>
        <v>1</v>
      </c>
      <c r="AQ177" s="16" t="b">
        <f t="shared" si="10"/>
        <v>1</v>
      </c>
      <c r="AR177" s="60" t="str">
        <f t="shared" si="11"/>
        <v>OK</v>
      </c>
      <c r="AS177" s="60" t="str">
        <f>IF(table_data[[#This Row],[Flagged-Issues]] = 0, "", table_data[[#This Row],[Flagged-Issues]])</f>
        <v/>
      </c>
    </row>
    <row r="178" spans="1:45" x14ac:dyDescent="0.25">
      <c r="A178" t="s">
        <v>104</v>
      </c>
      <c r="B178" t="s">
        <v>154</v>
      </c>
      <c r="C178" t="s">
        <v>122</v>
      </c>
      <c r="D178" s="65">
        <v>202501210854</v>
      </c>
      <c r="E178" t="s">
        <v>279</v>
      </c>
      <c r="F178" t="s">
        <v>134</v>
      </c>
      <c r="G178"/>
      <c r="H178" t="s">
        <v>394</v>
      </c>
      <c r="I178" t="s">
        <v>126</v>
      </c>
      <c r="J178" t="s">
        <v>127</v>
      </c>
      <c r="K178" t="s">
        <v>128</v>
      </c>
      <c r="L178">
        <v>2</v>
      </c>
      <c r="M178" t="s">
        <v>129</v>
      </c>
      <c r="N178">
        <v>2</v>
      </c>
      <c r="O178"/>
      <c r="P178"/>
      <c r="Q178"/>
      <c r="R178"/>
      <c r="S178" s="72">
        <v>45678</v>
      </c>
      <c r="T178" s="72">
        <v>45679</v>
      </c>
      <c r="U178" s="72">
        <v>45679</v>
      </c>
      <c r="V178" s="72" t="s">
        <v>130</v>
      </c>
      <c r="W178" s="72">
        <v>45775</v>
      </c>
      <c r="X178" s="72" t="s">
        <v>130</v>
      </c>
      <c r="Y178" t="s">
        <v>146</v>
      </c>
      <c r="Z178" t="s">
        <v>395</v>
      </c>
      <c r="AA178" t="s">
        <v>131</v>
      </c>
      <c r="AB178" t="s">
        <v>131</v>
      </c>
      <c r="AC178" t="s">
        <v>131</v>
      </c>
      <c r="AD178" t="s">
        <v>131</v>
      </c>
      <c r="AE178" t="s">
        <v>131</v>
      </c>
      <c r="AF178" t="s">
        <v>131</v>
      </c>
      <c r="AG178" t="s">
        <v>131</v>
      </c>
      <c r="AH178" t="s">
        <v>131</v>
      </c>
      <c r="AI178" t="s">
        <v>131</v>
      </c>
      <c r="AJ178">
        <v>0</v>
      </c>
      <c r="AK178" t="s">
        <v>131</v>
      </c>
      <c r="AL178" t="s">
        <v>148</v>
      </c>
      <c r="AM178" s="16">
        <f>IF(OR(AC178="Yes",K178="Info Request", K178="Side-Project"),0,(NETWORKDAYS(T178,U178,Holidays!A$2:A$13))-1)</f>
        <v>0</v>
      </c>
      <c r="AN178" s="16">
        <f>IF(OR(AC178="Yes",K178="Info Request", K178="Side-Project"),0,(NETWORKDAYS(U178,W178,Holidays!A$2:A$13))-1)</f>
        <v>66</v>
      </c>
      <c r="AO178" s="16">
        <f>IF(OR(V178="none"),0,((NETWORKDAYS(S178,V178,Holidays!A$2:A$13))-1))</f>
        <v>0</v>
      </c>
      <c r="AP178" s="16" t="b">
        <f t="shared" si="9"/>
        <v>1</v>
      </c>
      <c r="AQ178" s="16" t="b">
        <f t="shared" si="10"/>
        <v>1</v>
      </c>
      <c r="AR178" s="60" t="str">
        <f t="shared" si="11"/>
        <v>OK</v>
      </c>
      <c r="AS178" s="60" t="str">
        <f>IF(table_data[[#This Row],[Flagged-Issues]] = 0, "", table_data[[#This Row],[Flagged-Issues]])</f>
        <v/>
      </c>
    </row>
    <row r="179" spans="1:45" x14ac:dyDescent="0.25">
      <c r="A179" t="s">
        <v>29</v>
      </c>
      <c r="B179" t="s">
        <v>154</v>
      </c>
      <c r="C179" t="s">
        <v>122</v>
      </c>
      <c r="D179" s="65">
        <v>202502071440</v>
      </c>
      <c r="E179" t="s">
        <v>223</v>
      </c>
      <c r="F179" t="s">
        <v>173</v>
      </c>
      <c r="G179"/>
      <c r="H179" t="s">
        <v>396</v>
      </c>
      <c r="I179" t="s">
        <v>126</v>
      </c>
      <c r="J179" t="s">
        <v>167</v>
      </c>
      <c r="K179" t="s">
        <v>128</v>
      </c>
      <c r="L179">
        <v>2</v>
      </c>
      <c r="M179" t="s">
        <v>162</v>
      </c>
      <c r="N179">
        <v>2</v>
      </c>
      <c r="O179"/>
      <c r="P179"/>
      <c r="Q179">
        <v>2</v>
      </c>
      <c r="R179"/>
      <c r="S179" s="72">
        <v>45695</v>
      </c>
      <c r="T179" s="72">
        <v>45702</v>
      </c>
      <c r="U179" s="72">
        <v>45702</v>
      </c>
      <c r="V179" s="72" t="s">
        <v>130</v>
      </c>
      <c r="W179" s="72">
        <v>45769</v>
      </c>
      <c r="X179" s="72" t="s">
        <v>130</v>
      </c>
      <c r="Y179"/>
      <c r="Z179"/>
      <c r="AA179" t="s">
        <v>131</v>
      </c>
      <c r="AB179" t="s">
        <v>131</v>
      </c>
      <c r="AC179" t="s">
        <v>132</v>
      </c>
      <c r="AD179" t="s">
        <v>131</v>
      </c>
      <c r="AE179" t="s">
        <v>131</v>
      </c>
      <c r="AF179" t="s">
        <v>131</v>
      </c>
      <c r="AG179" t="s">
        <v>131</v>
      </c>
      <c r="AH179" t="s">
        <v>131</v>
      </c>
      <c r="AI179" t="s">
        <v>131</v>
      </c>
      <c r="AJ179">
        <v>0</v>
      </c>
      <c r="AK179" t="s">
        <v>131</v>
      </c>
      <c r="AL179" t="s">
        <v>132</v>
      </c>
      <c r="AM179" s="16">
        <f>IF(OR(AC179="Yes",K179="Info Request", K179="Side-Project"),0,(NETWORKDAYS(T179,U179,Holidays!A$2:A$13))-1)</f>
        <v>0</v>
      </c>
      <c r="AN179" s="16">
        <f>IF(OR(AC179="Yes",K179="Info Request", K179="Side-Project"),0,(NETWORKDAYS(U179,W179,Holidays!A$2:A$13))-1)</f>
        <v>0</v>
      </c>
      <c r="AO179" s="16">
        <f>IF(OR(V179="none"),0,((NETWORKDAYS(S179,V179,Holidays!A$2:A$13))-1))</f>
        <v>0</v>
      </c>
      <c r="AP179" s="16" t="b">
        <f t="shared" si="9"/>
        <v>1</v>
      </c>
      <c r="AQ179" s="16" t="b">
        <f t="shared" si="10"/>
        <v>1</v>
      </c>
      <c r="AR179" s="60" t="str">
        <f t="shared" si="11"/>
        <v>OK</v>
      </c>
      <c r="AS179" s="60" t="str">
        <f>IF(table_data[[#This Row],[Flagged-Issues]] = 0, "", table_data[[#This Row],[Flagged-Issues]])</f>
        <v/>
      </c>
    </row>
    <row r="180" spans="1:45" x14ac:dyDescent="0.25">
      <c r="A180" t="s">
        <v>104</v>
      </c>
      <c r="B180" t="s">
        <v>121</v>
      </c>
      <c r="C180" t="s">
        <v>122</v>
      </c>
      <c r="D180" s="65">
        <v>202504241414</v>
      </c>
      <c r="E180" t="s">
        <v>314</v>
      </c>
      <c r="F180" t="s">
        <v>134</v>
      </c>
      <c r="G180"/>
      <c r="H180" t="s">
        <v>397</v>
      </c>
      <c r="I180" t="s">
        <v>126</v>
      </c>
      <c r="J180" t="s">
        <v>127</v>
      </c>
      <c r="K180" t="s">
        <v>128</v>
      </c>
      <c r="L180">
        <v>2</v>
      </c>
      <c r="M180" t="s">
        <v>129</v>
      </c>
      <c r="N180">
        <v>2</v>
      </c>
      <c r="O180"/>
      <c r="P180"/>
      <c r="Q180"/>
      <c r="R180"/>
      <c r="S180" s="72">
        <v>45771</v>
      </c>
      <c r="T180" s="72">
        <v>45771</v>
      </c>
      <c r="U180" s="72">
        <v>45771</v>
      </c>
      <c r="V180" s="72" t="s">
        <v>130</v>
      </c>
      <c r="W180" s="72">
        <v>45772</v>
      </c>
      <c r="X180" s="72" t="s">
        <v>130</v>
      </c>
      <c r="Y180" t="s">
        <v>146</v>
      </c>
      <c r="Z180" t="s">
        <v>147</v>
      </c>
      <c r="AA180" t="s">
        <v>131</v>
      </c>
      <c r="AB180" t="s">
        <v>132</v>
      </c>
      <c r="AC180" t="s">
        <v>131</v>
      </c>
      <c r="AD180" t="s">
        <v>131</v>
      </c>
      <c r="AE180" t="s">
        <v>131</v>
      </c>
      <c r="AF180" t="s">
        <v>131</v>
      </c>
      <c r="AG180" t="s">
        <v>131</v>
      </c>
      <c r="AH180" t="s">
        <v>131</v>
      </c>
      <c r="AI180" t="s">
        <v>131</v>
      </c>
      <c r="AJ180">
        <v>0</v>
      </c>
      <c r="AK180" t="s">
        <v>131</v>
      </c>
      <c r="AL180" t="s">
        <v>148</v>
      </c>
      <c r="AM180" s="16">
        <f>IF(OR(AC180="Yes",K180="Info Request", K180="Side-Project"),0,(NETWORKDAYS(T180,U180,Holidays!A$2:A$13))-1)</f>
        <v>0</v>
      </c>
      <c r="AN180" s="16">
        <f>IF(OR(AC180="Yes",K180="Info Request", K180="Side-Project"),0,(NETWORKDAYS(U180,W180,Holidays!A$2:A$13))-1)</f>
        <v>1</v>
      </c>
      <c r="AO180" s="16">
        <f>IF(OR(V180="none"),0,((NETWORKDAYS(S180,V180,Holidays!A$2:A$13))-1))</f>
        <v>0</v>
      </c>
      <c r="AP180" s="16" t="b">
        <f t="shared" si="9"/>
        <v>1</v>
      </c>
      <c r="AQ180" s="16" t="b">
        <f t="shared" si="10"/>
        <v>1</v>
      </c>
      <c r="AR180" s="60" t="str">
        <f t="shared" si="11"/>
        <v>OK</v>
      </c>
      <c r="AS180" s="60" t="str">
        <f>IF(table_data[[#This Row],[Flagged-Issues]] = 0, "", table_data[[#This Row],[Flagged-Issues]])</f>
        <v/>
      </c>
    </row>
    <row r="181" spans="1:45" x14ac:dyDescent="0.25">
      <c r="A181" t="s">
        <v>29</v>
      </c>
      <c r="B181" t="s">
        <v>154</v>
      </c>
      <c r="C181" t="s">
        <v>122</v>
      </c>
      <c r="D181" s="65">
        <v>202501280822</v>
      </c>
      <c r="E181" t="s">
        <v>223</v>
      </c>
      <c r="F181" t="s">
        <v>173</v>
      </c>
      <c r="G181"/>
      <c r="H181" t="s">
        <v>398</v>
      </c>
      <c r="I181" t="s">
        <v>126</v>
      </c>
      <c r="J181" t="s">
        <v>127</v>
      </c>
      <c r="K181" t="s">
        <v>128</v>
      </c>
      <c r="L181">
        <v>2</v>
      </c>
      <c r="M181" t="s">
        <v>158</v>
      </c>
      <c r="N181">
        <v>2</v>
      </c>
      <c r="O181"/>
      <c r="P181"/>
      <c r="Q181"/>
      <c r="R181"/>
      <c r="S181" s="72">
        <v>45685</v>
      </c>
      <c r="T181" s="72">
        <v>45685</v>
      </c>
      <c r="U181" s="72">
        <v>45685</v>
      </c>
      <c r="V181" s="72" t="s">
        <v>130</v>
      </c>
      <c r="W181" s="72">
        <v>45749</v>
      </c>
      <c r="X181" s="72" t="s">
        <v>130</v>
      </c>
      <c r="Y181" t="s">
        <v>146</v>
      </c>
      <c r="Z181" t="s">
        <v>395</v>
      </c>
      <c r="AA181" t="s">
        <v>131</v>
      </c>
      <c r="AB181" t="s">
        <v>131</v>
      </c>
      <c r="AC181" t="s">
        <v>131</v>
      </c>
      <c r="AD181" t="s">
        <v>132</v>
      </c>
      <c r="AE181" t="s">
        <v>132</v>
      </c>
      <c r="AF181" t="s">
        <v>131</v>
      </c>
      <c r="AG181" t="s">
        <v>131</v>
      </c>
      <c r="AH181" t="s">
        <v>131</v>
      </c>
      <c r="AI181" t="s">
        <v>132</v>
      </c>
      <c r="AJ181">
        <v>0</v>
      </c>
      <c r="AK181" t="s">
        <v>131</v>
      </c>
      <c r="AL181" t="s">
        <v>148</v>
      </c>
      <c r="AM181" s="16">
        <f>IF(OR(AC181="Yes",K181="Info Request", K181="Side-Project"),0,(NETWORKDAYS(T181,U181,Holidays!A$2:A$13))-1)</f>
        <v>0</v>
      </c>
      <c r="AN181" s="16">
        <f>IF(OR(AC181="Yes",K181="Info Request", K181="Side-Project"),0,(NETWORKDAYS(U181,W181,Holidays!A$2:A$13))-1)</f>
        <v>46</v>
      </c>
      <c r="AO181" s="16">
        <f>IF(OR(V181="none"),0,((NETWORKDAYS(S181,V181,Holidays!A$2:A$13))-1))</f>
        <v>0</v>
      </c>
      <c r="AP181" s="16" t="b">
        <f t="shared" si="9"/>
        <v>1</v>
      </c>
      <c r="AQ181" s="16" t="b">
        <f t="shared" si="10"/>
        <v>1</v>
      </c>
      <c r="AR181" s="60" t="str">
        <f t="shared" si="11"/>
        <v>OK</v>
      </c>
      <c r="AS181" s="60" t="str">
        <f>IF(table_data[[#This Row],[Flagged-Issues]] = 0, "", table_data[[#This Row],[Flagged-Issues]])</f>
        <v/>
      </c>
    </row>
    <row r="182" spans="1:45" x14ac:dyDescent="0.25">
      <c r="A182" t="s">
        <v>289</v>
      </c>
      <c r="B182" t="s">
        <v>154</v>
      </c>
      <c r="C182" t="s">
        <v>122</v>
      </c>
      <c r="D182" s="65">
        <v>202501151603</v>
      </c>
      <c r="E182" t="s">
        <v>290</v>
      </c>
      <c r="F182" t="s">
        <v>139</v>
      </c>
      <c r="G182"/>
      <c r="H182" t="s">
        <v>399</v>
      </c>
      <c r="I182" t="s">
        <v>126</v>
      </c>
      <c r="J182" t="s">
        <v>157</v>
      </c>
      <c r="K182" t="s">
        <v>128</v>
      </c>
      <c r="L182">
        <v>2</v>
      </c>
      <c r="M182" t="s">
        <v>187</v>
      </c>
      <c r="N182">
        <v>4</v>
      </c>
      <c r="O182">
        <v>2</v>
      </c>
      <c r="P182"/>
      <c r="Q182">
        <v>4</v>
      </c>
      <c r="R182"/>
      <c r="S182" s="72">
        <v>45672</v>
      </c>
      <c r="T182" s="72">
        <v>45674</v>
      </c>
      <c r="U182" s="72">
        <v>45677</v>
      </c>
      <c r="V182" s="72" t="s">
        <v>130</v>
      </c>
      <c r="W182" s="72">
        <v>45776</v>
      </c>
      <c r="X182" s="72" t="s">
        <v>130</v>
      </c>
      <c r="Y182" t="s">
        <v>146</v>
      </c>
      <c r="Z182" t="s">
        <v>395</v>
      </c>
      <c r="AA182" t="s">
        <v>131</v>
      </c>
      <c r="AB182" t="s">
        <v>131</v>
      </c>
      <c r="AC182" t="s">
        <v>131</v>
      </c>
      <c r="AD182" t="s">
        <v>131</v>
      </c>
      <c r="AE182" t="s">
        <v>131</v>
      </c>
      <c r="AF182" t="s">
        <v>131</v>
      </c>
      <c r="AG182" t="s">
        <v>131</v>
      </c>
      <c r="AH182" t="s">
        <v>131</v>
      </c>
      <c r="AI182" t="s">
        <v>131</v>
      </c>
      <c r="AJ182">
        <v>0</v>
      </c>
      <c r="AK182" t="s">
        <v>131</v>
      </c>
      <c r="AL182" t="s">
        <v>131</v>
      </c>
      <c r="AM182" s="16">
        <f>IF(OR(AC182="Yes",K182="Info Request", K182="Side-Project"),0,(NETWORKDAYS(T182,U182,Holidays!A$2:A$13))-1)</f>
        <v>1</v>
      </c>
      <c r="AN182" s="16">
        <f>IF(OR(AC182="Yes",K182="Info Request", K182="Side-Project"),0,(NETWORKDAYS(U182,W182,Holidays!A$2:A$13))-1)</f>
        <v>69</v>
      </c>
      <c r="AO182" s="16">
        <f>IF(OR(V182="none"),0,((NETWORKDAYS(S182,V182,Holidays!A$2:A$13))-1))</f>
        <v>0</v>
      </c>
      <c r="AP182" s="16" t="b">
        <f t="shared" si="9"/>
        <v>1</v>
      </c>
      <c r="AQ182" s="16" t="b">
        <f t="shared" si="10"/>
        <v>1</v>
      </c>
      <c r="AR182" s="60" t="str">
        <f t="shared" si="11"/>
        <v>OK</v>
      </c>
      <c r="AS182" s="60" t="str">
        <f>IF(table_data[[#This Row],[Flagged-Issues]] = 0, "", table_data[[#This Row],[Flagged-Issues]])</f>
        <v/>
      </c>
    </row>
    <row r="183" spans="1:45" x14ac:dyDescent="0.25">
      <c r="A183" t="s">
        <v>29</v>
      </c>
      <c r="B183" t="s">
        <v>154</v>
      </c>
      <c r="C183" t="s">
        <v>122</v>
      </c>
      <c r="D183" s="65">
        <v>202504111155</v>
      </c>
      <c r="E183" t="s">
        <v>257</v>
      </c>
      <c r="F183" t="s">
        <v>173</v>
      </c>
      <c r="G183"/>
      <c r="H183" t="s">
        <v>400</v>
      </c>
      <c r="I183" t="s">
        <v>126</v>
      </c>
      <c r="J183" t="s">
        <v>151</v>
      </c>
      <c r="K183" t="s">
        <v>128</v>
      </c>
      <c r="L183">
        <v>2</v>
      </c>
      <c r="M183" t="s">
        <v>187</v>
      </c>
      <c r="N183">
        <v>4</v>
      </c>
      <c r="O183"/>
      <c r="P183"/>
      <c r="Q183"/>
      <c r="R183"/>
      <c r="S183" s="72">
        <v>45758</v>
      </c>
      <c r="T183" s="72">
        <v>45758</v>
      </c>
      <c r="U183" s="72">
        <v>45761</v>
      </c>
      <c r="V183" s="72" t="s">
        <v>130</v>
      </c>
      <c r="W183" s="72">
        <v>45764</v>
      </c>
      <c r="X183" s="72" t="s">
        <v>130</v>
      </c>
      <c r="Y183" t="s">
        <v>146</v>
      </c>
      <c r="Z183" t="s">
        <v>147</v>
      </c>
      <c r="AA183" t="s">
        <v>131</v>
      </c>
      <c r="AB183" t="s">
        <v>131</v>
      </c>
      <c r="AC183" t="s">
        <v>131</v>
      </c>
      <c r="AD183" t="s">
        <v>131</v>
      </c>
      <c r="AE183" t="s">
        <v>131</v>
      </c>
      <c r="AF183" t="s">
        <v>131</v>
      </c>
      <c r="AG183" t="s">
        <v>131</v>
      </c>
      <c r="AH183" t="s">
        <v>131</v>
      </c>
      <c r="AI183" t="s">
        <v>132</v>
      </c>
      <c r="AJ183">
        <v>0</v>
      </c>
      <c r="AK183" t="s">
        <v>131</v>
      </c>
      <c r="AL183" t="s">
        <v>131</v>
      </c>
      <c r="AM183" s="16">
        <f>IF(OR(AC183="Yes",K183="Info Request", K183="Side-Project"),0,(NETWORKDAYS(T183,U183,Holidays!A$2:A$13))-1)</f>
        <v>1</v>
      </c>
      <c r="AN183" s="16">
        <f>IF(OR(AC183="Yes",K183="Info Request", K183="Side-Project"),0,(NETWORKDAYS(U183,W183,Holidays!A$2:A$13))-1)</f>
        <v>3</v>
      </c>
      <c r="AO183" s="16">
        <f>IF(OR(V183="none"),0,((NETWORKDAYS(S183,V183,Holidays!A$2:A$13))-1))</f>
        <v>0</v>
      </c>
      <c r="AP183" s="16" t="b">
        <f t="shared" si="9"/>
        <v>1</v>
      </c>
      <c r="AQ183" s="16" t="b">
        <f t="shared" si="10"/>
        <v>1</v>
      </c>
      <c r="AR183" s="60" t="str">
        <f t="shared" si="11"/>
        <v>OK</v>
      </c>
      <c r="AS183" s="60" t="str">
        <f>IF(table_data[[#This Row],[Flagged-Issues]] = 0, "", table_data[[#This Row],[Flagged-Issues]])</f>
        <v/>
      </c>
    </row>
    <row r="184" spans="1:45" x14ac:dyDescent="0.25">
      <c r="A184" t="s">
        <v>29</v>
      </c>
      <c r="B184" t="s">
        <v>154</v>
      </c>
      <c r="C184" t="s">
        <v>294</v>
      </c>
      <c r="D184" s="65">
        <v>2025032191943</v>
      </c>
      <c r="E184" t="s">
        <v>290</v>
      </c>
      <c r="F184" t="s">
        <v>139</v>
      </c>
      <c r="G184"/>
      <c r="H184" t="s">
        <v>401</v>
      </c>
      <c r="I184" t="s">
        <v>203</v>
      </c>
      <c r="J184" t="s">
        <v>145</v>
      </c>
      <c r="K184" t="s">
        <v>128</v>
      </c>
      <c r="L184">
        <v>5</v>
      </c>
      <c r="M184" t="s">
        <v>177</v>
      </c>
      <c r="N184">
        <v>6</v>
      </c>
      <c r="O184">
        <v>2</v>
      </c>
      <c r="P184"/>
      <c r="Q184">
        <v>6</v>
      </c>
      <c r="R184"/>
      <c r="S184" s="72">
        <v>45748</v>
      </c>
      <c r="T184" s="72">
        <v>45742</v>
      </c>
      <c r="U184" s="72">
        <v>45742</v>
      </c>
      <c r="V184" s="72" t="s">
        <v>130</v>
      </c>
      <c r="W184" s="72">
        <v>45748</v>
      </c>
      <c r="X184" s="72" t="s">
        <v>130</v>
      </c>
      <c r="Y184" t="s">
        <v>146</v>
      </c>
      <c r="Z184" t="s">
        <v>285</v>
      </c>
      <c r="AA184" t="s">
        <v>131</v>
      </c>
      <c r="AB184" t="s">
        <v>131</v>
      </c>
      <c r="AC184" t="s">
        <v>131</v>
      </c>
      <c r="AD184" t="s">
        <v>131</v>
      </c>
      <c r="AE184" t="s">
        <v>131</v>
      </c>
      <c r="AF184" t="s">
        <v>131</v>
      </c>
      <c r="AG184" t="s">
        <v>131</v>
      </c>
      <c r="AH184" t="s">
        <v>131</v>
      </c>
      <c r="AI184" t="s">
        <v>132</v>
      </c>
      <c r="AJ184">
        <v>0</v>
      </c>
      <c r="AK184" t="s">
        <v>131</v>
      </c>
      <c r="AL184" t="s">
        <v>148</v>
      </c>
      <c r="AM184" s="16">
        <f>IF(OR(AC184="Yes",K184="Info Request", K184="Side-Project"),0,(NETWORKDAYS(T184,U184,Holidays!A$2:A$13))-1)</f>
        <v>0</v>
      </c>
      <c r="AN184" s="16">
        <f>IF(OR(AC184="Yes",K184="Info Request", K184="Side-Project"),0,(NETWORKDAYS(U184,W184,Holidays!A$2:A$13))-1)</f>
        <v>4</v>
      </c>
      <c r="AO184" s="16">
        <f>IF(OR(V184="none"),0,((NETWORKDAYS(S184,V184,Holidays!A$2:A$13))-1))</f>
        <v>0</v>
      </c>
      <c r="AP184" s="16" t="b">
        <f t="shared" si="9"/>
        <v>1</v>
      </c>
      <c r="AQ184" s="16" t="b">
        <f t="shared" si="10"/>
        <v>1</v>
      </c>
      <c r="AR184" s="60" t="str">
        <f t="shared" si="11"/>
        <v>OK</v>
      </c>
      <c r="AS184" s="60" t="str">
        <f>IF(table_data[[#This Row],[Flagged-Issues]] = 0, "", table_data[[#This Row],[Flagged-Issues]])</f>
        <v/>
      </c>
    </row>
    <row r="185" spans="1:45" x14ac:dyDescent="0.25">
      <c r="A185" t="s">
        <v>29</v>
      </c>
      <c r="B185" t="s">
        <v>154</v>
      </c>
      <c r="C185" t="s">
        <v>122</v>
      </c>
      <c r="D185" s="65">
        <v>202503251402</v>
      </c>
      <c r="E185" t="s">
        <v>215</v>
      </c>
      <c r="F185" t="s">
        <v>173</v>
      </c>
      <c r="G185"/>
      <c r="H185" t="s">
        <v>402</v>
      </c>
      <c r="I185" t="s">
        <v>126</v>
      </c>
      <c r="J185" t="s">
        <v>145</v>
      </c>
      <c r="K185" t="s">
        <v>128</v>
      </c>
      <c r="L185">
        <v>2</v>
      </c>
      <c r="M185" t="s">
        <v>362</v>
      </c>
      <c r="N185">
        <v>4</v>
      </c>
      <c r="O185"/>
      <c r="P185"/>
      <c r="Q185"/>
      <c r="R185">
        <v>2</v>
      </c>
      <c r="S185" s="72">
        <v>45741</v>
      </c>
      <c r="T185" s="72">
        <v>45743</v>
      </c>
      <c r="U185" s="72">
        <v>45743</v>
      </c>
      <c r="V185" s="72" t="s">
        <v>130</v>
      </c>
      <c r="W185" s="72">
        <v>45754</v>
      </c>
      <c r="X185" s="72" t="s">
        <v>130</v>
      </c>
      <c r="Y185" t="s">
        <v>146</v>
      </c>
      <c r="Z185" t="s">
        <v>285</v>
      </c>
      <c r="AA185" t="s">
        <v>131</v>
      </c>
      <c r="AB185" t="s">
        <v>131</v>
      </c>
      <c r="AC185" t="s">
        <v>131</v>
      </c>
      <c r="AD185" t="s">
        <v>131</v>
      </c>
      <c r="AE185" t="s">
        <v>131</v>
      </c>
      <c r="AF185" t="s">
        <v>131</v>
      </c>
      <c r="AG185" t="s">
        <v>131</v>
      </c>
      <c r="AH185" t="s">
        <v>131</v>
      </c>
      <c r="AI185" t="s">
        <v>131</v>
      </c>
      <c r="AJ185">
        <v>0</v>
      </c>
      <c r="AK185" t="s">
        <v>131</v>
      </c>
      <c r="AL185" t="s">
        <v>148</v>
      </c>
      <c r="AM185" s="16">
        <f>IF(OR(AC185="Yes",K185="Info Request", K185="Side-Project"),0,(NETWORKDAYS(T185,U185,Holidays!A$2:A$13))-1)</f>
        <v>0</v>
      </c>
      <c r="AN185" s="16">
        <f>IF(OR(AC185="Yes",K185="Info Request", K185="Side-Project"),0,(NETWORKDAYS(U185,W185,Holidays!A$2:A$13))-1)</f>
        <v>7</v>
      </c>
      <c r="AO185" s="16">
        <f>IF(OR(V185="none"),0,((NETWORKDAYS(S185,V185,Holidays!A$2:A$13))-1))</f>
        <v>0</v>
      </c>
      <c r="AP185" s="16" t="b">
        <f t="shared" si="9"/>
        <v>1</v>
      </c>
      <c r="AQ185" s="16" t="b">
        <f t="shared" si="10"/>
        <v>1</v>
      </c>
      <c r="AR185" s="60" t="str">
        <f t="shared" si="11"/>
        <v>OK</v>
      </c>
      <c r="AS185" s="60" t="str">
        <f>IF(table_data[[#This Row],[Flagged-Issues]] = 0, "", table_data[[#This Row],[Flagged-Issues]])</f>
        <v/>
      </c>
    </row>
    <row r="186" spans="1:45" x14ac:dyDescent="0.25">
      <c r="A186" t="s">
        <v>29</v>
      </c>
      <c r="B186" t="s">
        <v>154</v>
      </c>
      <c r="C186" t="s">
        <v>122</v>
      </c>
      <c r="D186" s="65">
        <v>202503251338</v>
      </c>
      <c r="E186" t="s">
        <v>215</v>
      </c>
      <c r="F186" t="s">
        <v>173</v>
      </c>
      <c r="G186"/>
      <c r="H186" t="s">
        <v>403</v>
      </c>
      <c r="I186" t="s">
        <v>126</v>
      </c>
      <c r="J186" t="s">
        <v>167</v>
      </c>
      <c r="K186" t="s">
        <v>128</v>
      </c>
      <c r="L186">
        <v>2</v>
      </c>
      <c r="M186" t="s">
        <v>162</v>
      </c>
      <c r="N186">
        <v>2</v>
      </c>
      <c r="O186"/>
      <c r="P186"/>
      <c r="Q186"/>
      <c r="R186"/>
      <c r="S186" s="72">
        <v>45741</v>
      </c>
      <c r="T186" s="72">
        <v>45743</v>
      </c>
      <c r="U186" s="72">
        <v>45743</v>
      </c>
      <c r="V186" s="72" t="s">
        <v>130</v>
      </c>
      <c r="W186" s="72">
        <v>45769</v>
      </c>
      <c r="X186" s="72" t="s">
        <v>130</v>
      </c>
      <c r="Y186" t="s">
        <v>146</v>
      </c>
      <c r="Z186" t="s">
        <v>147</v>
      </c>
      <c r="AA186" t="s">
        <v>131</v>
      </c>
      <c r="AB186" t="s">
        <v>131</v>
      </c>
      <c r="AC186" t="s">
        <v>131</v>
      </c>
      <c r="AD186" t="s">
        <v>131</v>
      </c>
      <c r="AE186" t="s">
        <v>131</v>
      </c>
      <c r="AF186" t="s">
        <v>131</v>
      </c>
      <c r="AG186" t="s">
        <v>131</v>
      </c>
      <c r="AH186" t="s">
        <v>131</v>
      </c>
      <c r="AI186" t="s">
        <v>131</v>
      </c>
      <c r="AJ186">
        <v>0</v>
      </c>
      <c r="AK186" t="s">
        <v>131</v>
      </c>
      <c r="AL186" t="s">
        <v>148</v>
      </c>
      <c r="AM186" s="16">
        <f>IF(OR(AC186="Yes",K186="Info Request", K186="Side-Project"),0,(NETWORKDAYS(T186,U186,Holidays!A$2:A$13))-1)</f>
        <v>0</v>
      </c>
      <c r="AN186" s="16">
        <f>IF(OR(AC186="Yes",K186="Info Request", K186="Side-Project"),0,(NETWORKDAYS(U186,W186,Holidays!A$2:A$13))-1)</f>
        <v>16</v>
      </c>
      <c r="AO186" s="16">
        <f>IF(OR(V186="none"),0,((NETWORKDAYS(S186,V186,Holidays!A$2:A$13))-1))</f>
        <v>0</v>
      </c>
      <c r="AP186" s="16" t="b">
        <f t="shared" si="9"/>
        <v>1</v>
      </c>
      <c r="AQ186" s="16" t="b">
        <f t="shared" si="10"/>
        <v>1</v>
      </c>
      <c r="AR186" s="60" t="str">
        <f t="shared" si="11"/>
        <v>OK</v>
      </c>
      <c r="AS186" s="60" t="str">
        <f>IF(table_data[[#This Row],[Flagged-Issues]] = 0, "", table_data[[#This Row],[Flagged-Issues]])</f>
        <v/>
      </c>
    </row>
    <row r="187" spans="1:45" x14ac:dyDescent="0.25">
      <c r="A187" t="s">
        <v>29</v>
      </c>
      <c r="B187" t="s">
        <v>154</v>
      </c>
      <c r="C187" t="s">
        <v>122</v>
      </c>
      <c r="D187" s="65">
        <v>202503270903</v>
      </c>
      <c r="E187" t="s">
        <v>215</v>
      </c>
      <c r="F187" t="s">
        <v>173</v>
      </c>
      <c r="G187"/>
      <c r="H187" t="s">
        <v>404</v>
      </c>
      <c r="I187" t="s">
        <v>126</v>
      </c>
      <c r="J187" t="s">
        <v>145</v>
      </c>
      <c r="K187" t="s">
        <v>128</v>
      </c>
      <c r="L187">
        <v>2</v>
      </c>
      <c r="M187" t="s">
        <v>129</v>
      </c>
      <c r="N187">
        <v>2</v>
      </c>
      <c r="O187"/>
      <c r="P187"/>
      <c r="Q187"/>
      <c r="R187"/>
      <c r="S187" s="72">
        <v>45743</v>
      </c>
      <c r="T187" s="72">
        <v>45743</v>
      </c>
      <c r="U187" s="72">
        <v>45743</v>
      </c>
      <c r="V187" s="72" t="s">
        <v>130</v>
      </c>
      <c r="W187" s="72">
        <v>45748</v>
      </c>
      <c r="X187" s="72" t="s">
        <v>130</v>
      </c>
      <c r="Y187"/>
      <c r="Z187"/>
      <c r="AA187" t="s">
        <v>131</v>
      </c>
      <c r="AB187" t="s">
        <v>131</v>
      </c>
      <c r="AC187" t="s">
        <v>131</v>
      </c>
      <c r="AD187" t="s">
        <v>131</v>
      </c>
      <c r="AE187" t="s">
        <v>131</v>
      </c>
      <c r="AF187" t="s">
        <v>131</v>
      </c>
      <c r="AG187" t="s">
        <v>131</v>
      </c>
      <c r="AH187" t="s">
        <v>131</v>
      </c>
      <c r="AI187" t="s">
        <v>132</v>
      </c>
      <c r="AJ187">
        <v>0</v>
      </c>
      <c r="AK187" t="s">
        <v>131</v>
      </c>
      <c r="AL187" t="s">
        <v>132</v>
      </c>
      <c r="AM187" s="16">
        <f>IF(OR(AC187="Yes",K187="Info Request", K187="Side-Project"),0,(NETWORKDAYS(T187,U187,Holidays!A$2:A$13))-1)</f>
        <v>0</v>
      </c>
      <c r="AN187" s="16">
        <f>IF(OR(AC187="Yes",K187="Info Request", K187="Side-Project"),0,(NETWORKDAYS(U187,W187,Holidays!A$2:A$13))-1)</f>
        <v>3</v>
      </c>
      <c r="AO187" s="16">
        <f>IF(OR(V187="none"),0,((NETWORKDAYS(S187,V187,Holidays!A$2:A$13))-1))</f>
        <v>0</v>
      </c>
      <c r="AP187" s="16" t="b">
        <f t="shared" si="9"/>
        <v>1</v>
      </c>
      <c r="AQ187" s="16" t="b">
        <f t="shared" si="10"/>
        <v>1</v>
      </c>
      <c r="AR187" s="60" t="str">
        <f t="shared" si="11"/>
        <v>OK</v>
      </c>
      <c r="AS187" s="60" t="str">
        <f>IF(table_data[[#This Row],[Flagged-Issues]] = 0, "", table_data[[#This Row],[Flagged-Issues]])</f>
        <v/>
      </c>
    </row>
    <row r="188" spans="1:45" x14ac:dyDescent="0.25">
      <c r="A188" t="s">
        <v>29</v>
      </c>
      <c r="B188" t="s">
        <v>154</v>
      </c>
      <c r="C188" t="s">
        <v>122</v>
      </c>
      <c r="D188" s="65">
        <v>202503261428</v>
      </c>
      <c r="E188" t="s">
        <v>223</v>
      </c>
      <c r="F188" t="s">
        <v>173</v>
      </c>
      <c r="G188"/>
      <c r="H188" t="s">
        <v>405</v>
      </c>
      <c r="I188" t="s">
        <v>126</v>
      </c>
      <c r="J188" t="s">
        <v>136</v>
      </c>
      <c r="K188" t="s">
        <v>128</v>
      </c>
      <c r="L188">
        <v>2</v>
      </c>
      <c r="M188" t="s">
        <v>137</v>
      </c>
      <c r="N188">
        <v>2</v>
      </c>
      <c r="O188"/>
      <c r="P188"/>
      <c r="Q188"/>
      <c r="R188"/>
      <c r="S188" s="72">
        <v>45742</v>
      </c>
      <c r="T188" s="72">
        <v>45743</v>
      </c>
      <c r="U188" s="72">
        <v>45743</v>
      </c>
      <c r="V188" s="72" t="s">
        <v>130</v>
      </c>
      <c r="W188" s="72">
        <v>45748</v>
      </c>
      <c r="X188" s="72" t="s">
        <v>130</v>
      </c>
      <c r="Y188"/>
      <c r="Z188"/>
      <c r="AA188" t="s">
        <v>131</v>
      </c>
      <c r="AB188" t="s">
        <v>131</v>
      </c>
      <c r="AC188" t="s">
        <v>131</v>
      </c>
      <c r="AD188" t="s">
        <v>131</v>
      </c>
      <c r="AE188" t="s">
        <v>131</v>
      </c>
      <c r="AF188" t="s">
        <v>131</v>
      </c>
      <c r="AG188" t="s">
        <v>131</v>
      </c>
      <c r="AH188" t="s">
        <v>131</v>
      </c>
      <c r="AI188" t="s">
        <v>131</v>
      </c>
      <c r="AJ188">
        <v>0</v>
      </c>
      <c r="AK188" t="s">
        <v>131</v>
      </c>
      <c r="AL188" t="s">
        <v>132</v>
      </c>
      <c r="AM188" s="16">
        <f>IF(OR(AC188="Yes",K188="Info Request", K188="Side-Project"),0,(NETWORKDAYS(T188,U188,Holidays!A$2:A$13))-1)</f>
        <v>0</v>
      </c>
      <c r="AN188" s="16">
        <f>IF(OR(AC188="Yes",K188="Info Request", K188="Side-Project"),0,(NETWORKDAYS(U188,W188,Holidays!A$2:A$13))-1)</f>
        <v>3</v>
      </c>
      <c r="AO188" s="16">
        <f>IF(OR(V188="none"),0,((NETWORKDAYS(S188,V188,Holidays!A$2:A$13))-1))</f>
        <v>0</v>
      </c>
      <c r="AP188" s="16" t="b">
        <f t="shared" si="9"/>
        <v>1</v>
      </c>
      <c r="AQ188" s="16" t="b">
        <f t="shared" si="10"/>
        <v>1</v>
      </c>
      <c r="AR188" s="60" t="str">
        <f t="shared" si="11"/>
        <v>OK</v>
      </c>
      <c r="AS188" s="60" t="str">
        <f>IF(table_data[[#This Row],[Flagged-Issues]] = 0, "", table_data[[#This Row],[Flagged-Issues]])</f>
        <v/>
      </c>
    </row>
    <row r="189" spans="1:45" x14ac:dyDescent="0.25">
      <c r="A189" t="s">
        <v>29</v>
      </c>
      <c r="B189" t="s">
        <v>154</v>
      </c>
      <c r="C189" t="s">
        <v>122</v>
      </c>
      <c r="D189" s="65">
        <v>202503201251</v>
      </c>
      <c r="E189" t="s">
        <v>223</v>
      </c>
      <c r="F189" t="s">
        <v>173</v>
      </c>
      <c r="G189"/>
      <c r="H189" t="s">
        <v>406</v>
      </c>
      <c r="I189" t="s">
        <v>203</v>
      </c>
      <c r="J189" t="s">
        <v>145</v>
      </c>
      <c r="K189" t="s">
        <v>128</v>
      </c>
      <c r="L189">
        <v>2</v>
      </c>
      <c r="M189" t="s">
        <v>187</v>
      </c>
      <c r="N189">
        <v>4</v>
      </c>
      <c r="O189"/>
      <c r="P189"/>
      <c r="Q189"/>
      <c r="R189"/>
      <c r="S189" s="72">
        <v>45736</v>
      </c>
      <c r="T189" s="72">
        <v>45742</v>
      </c>
      <c r="U189" s="72">
        <v>45742</v>
      </c>
      <c r="V189" s="72" t="s">
        <v>130</v>
      </c>
      <c r="W189" s="72">
        <v>45764</v>
      </c>
      <c r="X189" s="72" t="s">
        <v>130</v>
      </c>
      <c r="Y189" t="s">
        <v>146</v>
      </c>
      <c r="Z189" t="s">
        <v>285</v>
      </c>
      <c r="AA189" t="s">
        <v>131</v>
      </c>
      <c r="AB189" t="s">
        <v>131</v>
      </c>
      <c r="AC189" t="s">
        <v>131</v>
      </c>
      <c r="AD189" t="s">
        <v>131</v>
      </c>
      <c r="AE189" t="s">
        <v>131</v>
      </c>
      <c r="AF189" t="s">
        <v>131</v>
      </c>
      <c r="AG189" t="s">
        <v>131</v>
      </c>
      <c r="AH189" t="s">
        <v>132</v>
      </c>
      <c r="AI189" t="s">
        <v>132</v>
      </c>
      <c r="AJ189">
        <v>0</v>
      </c>
      <c r="AK189" t="s">
        <v>132</v>
      </c>
      <c r="AL189" t="s">
        <v>148</v>
      </c>
      <c r="AM189" s="16">
        <f>IF(OR(AC189="Yes",K189="Info Request", K189="Side-Project"),0,(NETWORKDAYS(T189,U189,Holidays!A$2:A$13))-1)</f>
        <v>0</v>
      </c>
      <c r="AN189" s="16">
        <f>IF(OR(AC189="Yes",K189="Info Request", K189="Side-Project"),0,(NETWORKDAYS(U189,W189,Holidays!A$2:A$13))-1)</f>
        <v>16</v>
      </c>
      <c r="AO189" s="16">
        <f>IF(OR(V189="none"),0,((NETWORKDAYS(S189,V189,Holidays!A$2:A$13))-1))</f>
        <v>0</v>
      </c>
      <c r="AP189" s="16" t="b">
        <f t="shared" si="9"/>
        <v>1</v>
      </c>
      <c r="AQ189" s="16" t="b">
        <f t="shared" si="10"/>
        <v>1</v>
      </c>
      <c r="AR189" s="60" t="str">
        <f t="shared" si="11"/>
        <v>OK</v>
      </c>
      <c r="AS189" s="60" t="str">
        <f>IF(table_data[[#This Row],[Flagged-Issues]] = 0, "", table_data[[#This Row],[Flagged-Issues]])</f>
        <v/>
      </c>
    </row>
    <row r="190" spans="1:45" x14ac:dyDescent="0.25">
      <c r="A190" t="s">
        <v>104</v>
      </c>
      <c r="B190" t="s">
        <v>154</v>
      </c>
      <c r="C190" t="s">
        <v>122</v>
      </c>
      <c r="D190" s="65">
        <v>202502200900</v>
      </c>
      <c r="E190" t="s">
        <v>198</v>
      </c>
      <c r="F190" t="s">
        <v>134</v>
      </c>
      <c r="G190"/>
      <c r="H190" t="s">
        <v>407</v>
      </c>
      <c r="I190" t="s">
        <v>203</v>
      </c>
      <c r="J190" t="s">
        <v>167</v>
      </c>
      <c r="K190" t="s">
        <v>128</v>
      </c>
      <c r="L190">
        <v>2</v>
      </c>
      <c r="M190" t="s">
        <v>177</v>
      </c>
      <c r="N190">
        <v>2</v>
      </c>
      <c r="O190"/>
      <c r="P190"/>
      <c r="Q190"/>
      <c r="R190"/>
      <c r="S190" s="72">
        <v>45709</v>
      </c>
      <c r="T190" s="72">
        <v>45722</v>
      </c>
      <c r="U190" s="72">
        <v>45722</v>
      </c>
      <c r="V190" s="72">
        <v>45722</v>
      </c>
      <c r="W190" s="72">
        <v>45748</v>
      </c>
      <c r="X190" s="72">
        <v>45721</v>
      </c>
      <c r="Y190" t="s">
        <v>146</v>
      </c>
      <c r="Z190" t="s">
        <v>285</v>
      </c>
      <c r="AA190" t="s">
        <v>131</v>
      </c>
      <c r="AB190" t="s">
        <v>131</v>
      </c>
      <c r="AC190" t="s">
        <v>132</v>
      </c>
      <c r="AD190" t="s">
        <v>131</v>
      </c>
      <c r="AE190" t="s">
        <v>131</v>
      </c>
      <c r="AF190" t="s">
        <v>131</v>
      </c>
      <c r="AG190" t="s">
        <v>131</v>
      </c>
      <c r="AH190" t="s">
        <v>131</v>
      </c>
      <c r="AI190" t="s">
        <v>131</v>
      </c>
      <c r="AJ190">
        <v>0</v>
      </c>
      <c r="AK190" t="s">
        <v>131</v>
      </c>
      <c r="AL190" t="s">
        <v>131</v>
      </c>
      <c r="AM190" s="16">
        <f>IF(OR(AC190="Yes",K190="Info Request", K190="Side-Project"),0,(NETWORKDAYS(T190,U190,Holidays!A$2:A$13))-1)</f>
        <v>0</v>
      </c>
      <c r="AN190" s="16">
        <f>IF(OR(AC190="Yes",K190="Info Request", K190="Side-Project"),0,(NETWORKDAYS(U190,W190,Holidays!A$2:A$13))-1)</f>
        <v>0</v>
      </c>
      <c r="AO190" s="16">
        <f>IF(OR(V190="none"),0,((NETWORKDAYS(S190,V190,Holidays!A$2:A$13))-1))</f>
        <v>9</v>
      </c>
      <c r="AP190" s="16" t="b">
        <f t="shared" si="9"/>
        <v>0</v>
      </c>
      <c r="AQ190" s="16" t="b">
        <f t="shared" si="10"/>
        <v>1</v>
      </c>
      <c r="AR190" s="60" t="str">
        <f t="shared" si="11"/>
        <v>OK</v>
      </c>
      <c r="AS190" s="60" t="str">
        <f>IF(table_data[[#This Row],[Flagged-Issues]] = 0, "", table_data[[#This Row],[Flagged-Issues]])</f>
        <v/>
      </c>
    </row>
    <row r="191" spans="1:45" x14ac:dyDescent="0.25">
      <c r="A191" t="s">
        <v>29</v>
      </c>
      <c r="B191" t="s">
        <v>154</v>
      </c>
      <c r="C191" t="s">
        <v>122</v>
      </c>
      <c r="D191" s="65">
        <v>202504251522</v>
      </c>
      <c r="E191" t="s">
        <v>223</v>
      </c>
      <c r="F191" t="s">
        <v>173</v>
      </c>
      <c r="G191"/>
      <c r="H191" t="s">
        <v>408</v>
      </c>
      <c r="I191" t="s">
        <v>126</v>
      </c>
      <c r="J191" t="s">
        <v>136</v>
      </c>
      <c r="K191" t="s">
        <v>128</v>
      </c>
      <c r="L191">
        <v>2</v>
      </c>
      <c r="M191" t="s">
        <v>137</v>
      </c>
      <c r="N191">
        <v>2</v>
      </c>
      <c r="O191"/>
      <c r="P191"/>
      <c r="Q191"/>
      <c r="R191"/>
      <c r="S191" s="72">
        <v>45772</v>
      </c>
      <c r="T191" s="72">
        <v>45777</v>
      </c>
      <c r="U191" s="72">
        <v>45777</v>
      </c>
      <c r="V191" s="72" t="s">
        <v>130</v>
      </c>
      <c r="W191" s="72">
        <v>45777</v>
      </c>
      <c r="X191" s="72" t="s">
        <v>130</v>
      </c>
      <c r="Y191"/>
      <c r="Z191"/>
      <c r="AA191" t="s">
        <v>131</v>
      </c>
      <c r="AB191" t="s">
        <v>131</v>
      </c>
      <c r="AC191" t="s">
        <v>131</v>
      </c>
      <c r="AD191" t="s">
        <v>131</v>
      </c>
      <c r="AE191" t="s">
        <v>131</v>
      </c>
      <c r="AF191" t="s">
        <v>131</v>
      </c>
      <c r="AG191" t="s">
        <v>131</v>
      </c>
      <c r="AH191" t="s">
        <v>131</v>
      </c>
      <c r="AI191" t="s">
        <v>131</v>
      </c>
      <c r="AJ191">
        <v>0</v>
      </c>
      <c r="AK191" t="s">
        <v>131</v>
      </c>
      <c r="AL191" t="s">
        <v>132</v>
      </c>
      <c r="AM191" s="16">
        <f>IF(OR(AC191="Yes",K191="Info Request", K191="Side-Project"),0,(NETWORKDAYS(T191,U191,Holidays!A$2:A$13))-1)</f>
        <v>0</v>
      </c>
      <c r="AN191" s="16">
        <f>IF(OR(AC191="Yes",K191="Info Request", K191="Side-Project"),0,(NETWORKDAYS(U191,W191,Holidays!A$2:A$13))-1)</f>
        <v>0</v>
      </c>
      <c r="AO191" s="16">
        <f>IF(OR(V191="none"),0,((NETWORKDAYS(S191,V191,Holidays!A$2:A$13))-1))</f>
        <v>0</v>
      </c>
      <c r="AP191" s="16" t="b">
        <f t="shared" si="9"/>
        <v>1</v>
      </c>
      <c r="AQ191" s="16" t="b">
        <f t="shared" si="10"/>
        <v>1</v>
      </c>
      <c r="AR191" s="60" t="str">
        <f t="shared" si="11"/>
        <v>OK</v>
      </c>
      <c r="AS191" s="60" t="str">
        <f>IF(table_data[[#This Row],[Flagged-Issues]] = 0, "", table_data[[#This Row],[Flagged-Issues]])</f>
        <v/>
      </c>
    </row>
    <row r="192" spans="1:45" x14ac:dyDescent="0.25">
      <c r="A192" t="s">
        <v>29</v>
      </c>
      <c r="B192" t="s">
        <v>154</v>
      </c>
      <c r="C192" t="s">
        <v>122</v>
      </c>
      <c r="D192" s="65">
        <v>202504291521</v>
      </c>
      <c r="E192" t="s">
        <v>223</v>
      </c>
      <c r="F192" t="s">
        <v>173</v>
      </c>
      <c r="G192"/>
      <c r="H192" t="s">
        <v>409</v>
      </c>
      <c r="I192" t="s">
        <v>126</v>
      </c>
      <c r="J192" t="s">
        <v>145</v>
      </c>
      <c r="K192" t="s">
        <v>128</v>
      </c>
      <c r="L192">
        <v>2</v>
      </c>
      <c r="M192" t="s">
        <v>162</v>
      </c>
      <c r="N192">
        <v>6</v>
      </c>
      <c r="O192"/>
      <c r="P192"/>
      <c r="Q192"/>
      <c r="R192"/>
      <c r="S192" s="72">
        <v>45776</v>
      </c>
      <c r="T192" s="72">
        <v>45777</v>
      </c>
      <c r="U192" s="72">
        <v>45777</v>
      </c>
      <c r="V192" s="72" t="s">
        <v>130</v>
      </c>
      <c r="W192" s="72">
        <v>45777</v>
      </c>
      <c r="X192" s="72" t="s">
        <v>130</v>
      </c>
      <c r="Y192"/>
      <c r="Z192"/>
      <c r="AA192" t="s">
        <v>131</v>
      </c>
      <c r="AB192" t="s">
        <v>131</v>
      </c>
      <c r="AC192" t="s">
        <v>131</v>
      </c>
      <c r="AD192" t="s">
        <v>131</v>
      </c>
      <c r="AE192" t="s">
        <v>132</v>
      </c>
      <c r="AF192" t="s">
        <v>132</v>
      </c>
      <c r="AG192" t="s">
        <v>131</v>
      </c>
      <c r="AH192" t="s">
        <v>131</v>
      </c>
      <c r="AI192" t="s">
        <v>131</v>
      </c>
      <c r="AJ192">
        <v>0</v>
      </c>
      <c r="AK192" t="s">
        <v>131</v>
      </c>
      <c r="AL192" t="s">
        <v>132</v>
      </c>
      <c r="AM192" s="16">
        <f>IF(OR(AC192="Yes",K192="Info Request", K192="Side-Project"),0,(NETWORKDAYS(T192,U192,Holidays!A$2:A$13))-1)</f>
        <v>0</v>
      </c>
      <c r="AN192" s="16">
        <f>IF(OR(AC192="Yes",K192="Info Request", K192="Side-Project"),0,(NETWORKDAYS(U192,W192,Holidays!A$2:A$13))-1)</f>
        <v>0</v>
      </c>
      <c r="AO192" s="16">
        <f>IF(OR(V192="none"),0,((NETWORKDAYS(S192,V192,Holidays!A$2:A$13))-1))</f>
        <v>0</v>
      </c>
      <c r="AP192" s="16" t="b">
        <f t="shared" si="9"/>
        <v>1</v>
      </c>
      <c r="AQ192" s="16" t="b">
        <f t="shared" si="10"/>
        <v>1</v>
      </c>
      <c r="AR192" s="60" t="str">
        <f t="shared" si="11"/>
        <v>OK</v>
      </c>
      <c r="AS192" s="60" t="str">
        <f>IF(table_data[[#This Row],[Flagged-Issues]] = 0, "", table_data[[#This Row],[Flagged-Issues]])</f>
        <v/>
      </c>
    </row>
    <row r="193" spans="1:45" x14ac:dyDescent="0.25">
      <c r="A193" t="s">
        <v>29</v>
      </c>
      <c r="B193" t="s">
        <v>154</v>
      </c>
      <c r="C193" t="s">
        <v>122</v>
      </c>
      <c r="D193" s="65">
        <v>202504251329</v>
      </c>
      <c r="E193" t="s">
        <v>230</v>
      </c>
      <c r="F193" t="s">
        <v>231</v>
      </c>
      <c r="G193"/>
      <c r="H193" t="s">
        <v>410</v>
      </c>
      <c r="I193" t="s">
        <v>126</v>
      </c>
      <c r="J193" t="s">
        <v>151</v>
      </c>
      <c r="K193" t="s">
        <v>128</v>
      </c>
      <c r="L193">
        <v>2</v>
      </c>
      <c r="M193" t="s">
        <v>141</v>
      </c>
      <c r="N193">
        <v>2</v>
      </c>
      <c r="O193"/>
      <c r="P193"/>
      <c r="Q193"/>
      <c r="R193"/>
      <c r="S193" s="72">
        <v>45772</v>
      </c>
      <c r="T193" s="72">
        <v>45775</v>
      </c>
      <c r="U193" s="72">
        <v>45775</v>
      </c>
      <c r="V193" s="72" t="s">
        <v>130</v>
      </c>
      <c r="W193" s="72">
        <v>45775</v>
      </c>
      <c r="X193" s="72" t="s">
        <v>130</v>
      </c>
      <c r="Y193"/>
      <c r="Z193"/>
      <c r="AA193" t="s">
        <v>131</v>
      </c>
      <c r="AB193" t="s">
        <v>131</v>
      </c>
      <c r="AC193" t="s">
        <v>131</v>
      </c>
      <c r="AD193" t="s">
        <v>131</v>
      </c>
      <c r="AE193" t="s">
        <v>131</v>
      </c>
      <c r="AF193" t="s">
        <v>131</v>
      </c>
      <c r="AG193" t="s">
        <v>131</v>
      </c>
      <c r="AH193" t="s">
        <v>131</v>
      </c>
      <c r="AI193" t="s">
        <v>131</v>
      </c>
      <c r="AJ193">
        <v>0</v>
      </c>
      <c r="AK193" t="s">
        <v>131</v>
      </c>
      <c r="AL193" t="s">
        <v>132</v>
      </c>
      <c r="AM193" s="16">
        <f>IF(OR(AC193="Yes",K193="Info Request", K193="Side-Project"),0,(NETWORKDAYS(T193,U193,Holidays!A$2:A$13))-1)</f>
        <v>0</v>
      </c>
      <c r="AN193" s="16">
        <f>IF(OR(AC193="Yes",K193="Info Request", K193="Side-Project"),0,(NETWORKDAYS(U193,W193,Holidays!A$2:A$13))-1)</f>
        <v>0</v>
      </c>
      <c r="AO193" s="16">
        <f>IF(OR(V193="none"),0,((NETWORKDAYS(S193,V193,Holidays!A$2:A$13))-1))</f>
        <v>0</v>
      </c>
      <c r="AP193" s="16" t="b">
        <f t="shared" si="9"/>
        <v>1</v>
      </c>
      <c r="AQ193" s="16" t="b">
        <f t="shared" si="10"/>
        <v>1</v>
      </c>
      <c r="AR193" s="60" t="str">
        <f t="shared" si="11"/>
        <v>OK</v>
      </c>
      <c r="AS193" s="60" t="str">
        <f>IF(table_data[[#This Row],[Flagged-Issues]] = 0, "", table_data[[#This Row],[Flagged-Issues]])</f>
        <v/>
      </c>
    </row>
    <row r="194" spans="1:45" x14ac:dyDescent="0.25">
      <c r="A194" t="s">
        <v>104</v>
      </c>
      <c r="B194" t="s">
        <v>121</v>
      </c>
      <c r="C194" t="s">
        <v>122</v>
      </c>
      <c r="D194" s="65">
        <v>202503271152</v>
      </c>
      <c r="E194" t="s">
        <v>314</v>
      </c>
      <c r="F194" t="s">
        <v>134</v>
      </c>
      <c r="G194"/>
      <c r="H194" t="s">
        <v>411</v>
      </c>
      <c r="I194" t="s">
        <v>126</v>
      </c>
      <c r="J194" t="s">
        <v>206</v>
      </c>
      <c r="K194" t="s">
        <v>128</v>
      </c>
      <c r="L194">
        <v>2</v>
      </c>
      <c r="M194" t="s">
        <v>143</v>
      </c>
      <c r="N194">
        <v>2</v>
      </c>
      <c r="O194"/>
      <c r="P194"/>
      <c r="Q194"/>
      <c r="R194"/>
      <c r="S194" s="72">
        <v>45743</v>
      </c>
      <c r="T194" s="72">
        <v>45743</v>
      </c>
      <c r="U194" s="72">
        <v>45743</v>
      </c>
      <c r="V194" s="72" t="s">
        <v>130</v>
      </c>
      <c r="W194" s="72">
        <v>45749</v>
      </c>
      <c r="X194" s="72" t="s">
        <v>130</v>
      </c>
      <c r="Y194"/>
      <c r="Z194"/>
      <c r="AA194" t="s">
        <v>132</v>
      </c>
      <c r="AB194" t="s">
        <v>132</v>
      </c>
      <c r="AC194" t="s">
        <v>131</v>
      </c>
      <c r="AD194" t="s">
        <v>131</v>
      </c>
      <c r="AE194" t="s">
        <v>131</v>
      </c>
      <c r="AF194" t="s">
        <v>131</v>
      </c>
      <c r="AG194" t="s">
        <v>131</v>
      </c>
      <c r="AH194" t="s">
        <v>131</v>
      </c>
      <c r="AI194" t="s">
        <v>131</v>
      </c>
      <c r="AJ194">
        <v>0</v>
      </c>
      <c r="AK194" t="s">
        <v>131</v>
      </c>
      <c r="AL194" t="s">
        <v>132</v>
      </c>
      <c r="AM194" s="16">
        <f>IF(OR(AC194="Yes",K194="Info Request", K194="Side-Project"),0,(NETWORKDAYS(T194,U194,Holidays!A$2:A$13))-1)</f>
        <v>0</v>
      </c>
      <c r="AN194" s="16">
        <f>IF(OR(AC194="Yes",K194="Info Request", K194="Side-Project"),0,(NETWORKDAYS(U194,W194,Holidays!A$2:A$13))-1)</f>
        <v>4</v>
      </c>
      <c r="AO194" s="16">
        <f>IF(OR(V194="none"),0,((NETWORKDAYS(S194,V194,Holidays!A$2:A$13))-1))</f>
        <v>0</v>
      </c>
      <c r="AP194" s="16" t="b">
        <f t="shared" si="9"/>
        <v>1</v>
      </c>
      <c r="AQ194" s="16" t="b">
        <f t="shared" si="10"/>
        <v>1</v>
      </c>
      <c r="AR194" s="60" t="str">
        <f t="shared" si="11"/>
        <v>OK</v>
      </c>
      <c r="AS194" s="60" t="str">
        <f>IF(table_data[[#This Row],[Flagged-Issues]] = 0, "", table_data[[#This Row],[Flagged-Issues]])</f>
        <v/>
      </c>
    </row>
    <row r="195" spans="1:45" x14ac:dyDescent="0.25">
      <c r="A195" t="s">
        <v>104</v>
      </c>
      <c r="B195" t="s">
        <v>154</v>
      </c>
      <c r="C195" t="s">
        <v>122</v>
      </c>
      <c r="D195" s="65">
        <v>202504020829</v>
      </c>
      <c r="E195" t="s">
        <v>233</v>
      </c>
      <c r="F195" t="s">
        <v>134</v>
      </c>
      <c r="G195"/>
      <c r="H195" t="s">
        <v>412</v>
      </c>
      <c r="I195" t="s">
        <v>126</v>
      </c>
      <c r="J195" t="s">
        <v>136</v>
      </c>
      <c r="K195" t="s">
        <v>128</v>
      </c>
      <c r="L195">
        <v>2</v>
      </c>
      <c r="M195" t="s">
        <v>162</v>
      </c>
      <c r="N195">
        <v>4</v>
      </c>
      <c r="O195"/>
      <c r="P195"/>
      <c r="Q195"/>
      <c r="R195"/>
      <c r="S195" s="72">
        <v>45749</v>
      </c>
      <c r="T195" s="72">
        <v>45750</v>
      </c>
      <c r="U195" s="72">
        <v>45750</v>
      </c>
      <c r="V195" s="72" t="s">
        <v>130</v>
      </c>
      <c r="W195" s="72">
        <v>45750</v>
      </c>
      <c r="X195" s="72" t="s">
        <v>130</v>
      </c>
      <c r="Y195"/>
      <c r="Z195"/>
      <c r="AA195" t="s">
        <v>131</v>
      </c>
      <c r="AB195" t="s">
        <v>131</v>
      </c>
      <c r="AC195" t="s">
        <v>131</v>
      </c>
      <c r="AD195" t="s">
        <v>131</v>
      </c>
      <c r="AE195" t="s">
        <v>131</v>
      </c>
      <c r="AF195" t="s">
        <v>131</v>
      </c>
      <c r="AG195" t="s">
        <v>131</v>
      </c>
      <c r="AH195" t="s">
        <v>131</v>
      </c>
      <c r="AI195" t="s">
        <v>131</v>
      </c>
      <c r="AJ195">
        <v>0</v>
      </c>
      <c r="AK195" t="s">
        <v>131</v>
      </c>
      <c r="AL195" t="s">
        <v>132</v>
      </c>
      <c r="AM195" s="16">
        <f>IF(OR(AC195="Yes",K195="Info Request", K195="Side-Project"),0,(NETWORKDAYS(T195,U195,Holidays!A$2:A$13))-1)</f>
        <v>0</v>
      </c>
      <c r="AN195" s="16">
        <f>IF(OR(AC195="Yes",K195="Info Request", K195="Side-Project"),0,(NETWORKDAYS(U195,W195,Holidays!A$2:A$13))-1)</f>
        <v>0</v>
      </c>
      <c r="AO195" s="16">
        <f>IF(OR(V195="none"),0,((NETWORKDAYS(S195,V195,Holidays!A$2:A$13))-1))</f>
        <v>0</v>
      </c>
      <c r="AP195" s="16" t="b">
        <f t="shared" ref="AP195:AP258" si="12">OR(AO195&lt;=L195)</f>
        <v>1</v>
      </c>
      <c r="AQ195" s="16" t="b">
        <f t="shared" ref="AQ195:AQ258" si="13">OR(AM195&lt;=L195)</f>
        <v>1</v>
      </c>
      <c r="AR195" s="60" t="str">
        <f t="shared" ref="AR195:AR258" si="14">IF(AJ195 &gt; (N195 + O195), "too many URLs", "OK")</f>
        <v>OK</v>
      </c>
      <c r="AS195" s="60" t="str">
        <f>IF(table_data[[#This Row],[Flagged-Issues]] = 0, "", table_data[[#This Row],[Flagged-Issues]])</f>
        <v/>
      </c>
    </row>
    <row r="196" spans="1:45" x14ac:dyDescent="0.25">
      <c r="A196" t="s">
        <v>29</v>
      </c>
      <c r="B196" t="s">
        <v>154</v>
      </c>
      <c r="C196" t="s">
        <v>122</v>
      </c>
      <c r="D196" s="65">
        <v>202504151051</v>
      </c>
      <c r="E196" t="s">
        <v>257</v>
      </c>
      <c r="F196" t="s">
        <v>173</v>
      </c>
      <c r="G196" t="s">
        <v>364</v>
      </c>
      <c r="H196" t="s">
        <v>413</v>
      </c>
      <c r="I196" t="s">
        <v>126</v>
      </c>
      <c r="J196" t="s">
        <v>136</v>
      </c>
      <c r="K196" t="s">
        <v>128</v>
      </c>
      <c r="L196">
        <v>2</v>
      </c>
      <c r="M196" t="s">
        <v>137</v>
      </c>
      <c r="N196">
        <v>2</v>
      </c>
      <c r="O196"/>
      <c r="P196"/>
      <c r="Q196"/>
      <c r="R196"/>
      <c r="S196" s="72">
        <v>45762</v>
      </c>
      <c r="T196" s="72">
        <v>45764</v>
      </c>
      <c r="U196" s="72">
        <v>45764</v>
      </c>
      <c r="V196" s="72" t="s">
        <v>130</v>
      </c>
      <c r="W196" s="72">
        <v>45769</v>
      </c>
      <c r="X196" s="72" t="s">
        <v>130</v>
      </c>
      <c r="Y196"/>
      <c r="Z196"/>
      <c r="AA196" t="s">
        <v>131</v>
      </c>
      <c r="AB196" t="s">
        <v>131</v>
      </c>
      <c r="AC196" t="s">
        <v>131</v>
      </c>
      <c r="AD196" t="s">
        <v>131</v>
      </c>
      <c r="AE196" t="s">
        <v>131</v>
      </c>
      <c r="AF196" t="s">
        <v>131</v>
      </c>
      <c r="AG196" t="s">
        <v>131</v>
      </c>
      <c r="AH196" t="s">
        <v>131</v>
      </c>
      <c r="AI196" t="s">
        <v>131</v>
      </c>
      <c r="AJ196">
        <v>0</v>
      </c>
      <c r="AK196" t="s">
        <v>131</v>
      </c>
      <c r="AL196" t="s">
        <v>132</v>
      </c>
      <c r="AM196" s="16">
        <f>IF(OR(AC196="Yes",K196="Info Request", K196="Side-Project"),0,(NETWORKDAYS(T196,U196,Holidays!A$2:A$13))-1)</f>
        <v>0</v>
      </c>
      <c r="AN196" s="16">
        <f>IF(OR(AC196="Yes",K196="Info Request", K196="Side-Project"),0,(NETWORKDAYS(U196,W196,Holidays!A$2:A$13))-1)</f>
        <v>1</v>
      </c>
      <c r="AO196" s="16">
        <f>IF(OR(V196="none"),0,((NETWORKDAYS(S196,V196,Holidays!A$2:A$13))-1))</f>
        <v>0</v>
      </c>
      <c r="AP196" s="16" t="b">
        <f t="shared" si="12"/>
        <v>1</v>
      </c>
      <c r="AQ196" s="16" t="b">
        <f t="shared" si="13"/>
        <v>1</v>
      </c>
      <c r="AR196" s="60" t="str">
        <f t="shared" si="14"/>
        <v>OK</v>
      </c>
      <c r="AS196" s="60" t="str">
        <f>IF(table_data[[#This Row],[Flagged-Issues]] = 0, "", table_data[[#This Row],[Flagged-Issues]])</f>
        <v/>
      </c>
    </row>
    <row r="197" spans="1:45" x14ac:dyDescent="0.25">
      <c r="A197" t="s">
        <v>29</v>
      </c>
      <c r="B197" t="s">
        <v>154</v>
      </c>
      <c r="C197" t="s">
        <v>122</v>
      </c>
      <c r="D197" s="65">
        <v>202503201315</v>
      </c>
      <c r="E197" t="s">
        <v>200</v>
      </c>
      <c r="F197" t="s">
        <v>124</v>
      </c>
      <c r="G197"/>
      <c r="H197" t="s">
        <v>414</v>
      </c>
      <c r="I197" t="s">
        <v>203</v>
      </c>
      <c r="J197" t="s">
        <v>157</v>
      </c>
      <c r="K197" t="s">
        <v>128</v>
      </c>
      <c r="L197">
        <v>1</v>
      </c>
      <c r="M197" t="s">
        <v>158</v>
      </c>
      <c r="N197">
        <v>4</v>
      </c>
      <c r="O197"/>
      <c r="P197"/>
      <c r="Q197">
        <v>2</v>
      </c>
      <c r="R197"/>
      <c r="S197" s="72">
        <v>45736</v>
      </c>
      <c r="T197" s="72">
        <v>45748</v>
      </c>
      <c r="U197" s="72">
        <v>45748</v>
      </c>
      <c r="V197" s="72">
        <v>45750</v>
      </c>
      <c r="W197" s="72">
        <v>45754</v>
      </c>
      <c r="X197" s="72">
        <v>45750</v>
      </c>
      <c r="Y197"/>
      <c r="Z197"/>
      <c r="AA197" t="s">
        <v>131</v>
      </c>
      <c r="AB197" t="s">
        <v>131</v>
      </c>
      <c r="AC197" t="s">
        <v>131</v>
      </c>
      <c r="AD197" t="s">
        <v>131</v>
      </c>
      <c r="AE197" t="s">
        <v>131</v>
      </c>
      <c r="AF197" t="s">
        <v>131</v>
      </c>
      <c r="AG197" t="s">
        <v>131</v>
      </c>
      <c r="AH197" t="s">
        <v>131</v>
      </c>
      <c r="AI197" t="s">
        <v>131</v>
      </c>
      <c r="AJ197">
        <v>0</v>
      </c>
      <c r="AK197" t="s">
        <v>131</v>
      </c>
      <c r="AL197" t="s">
        <v>132</v>
      </c>
      <c r="AM197" s="16">
        <f>IF(OR(AC197="Yes",K197="Info Request", K197="Side-Project"),0,(NETWORKDAYS(T197,U197,Holidays!A$2:A$13))-1)</f>
        <v>0</v>
      </c>
      <c r="AN197" s="16">
        <f>IF(OR(AC197="Yes",K197="Info Request", K197="Side-Project"),0,(NETWORKDAYS(U197,W197,Holidays!A$2:A$13))-1)</f>
        <v>4</v>
      </c>
      <c r="AO197" s="16">
        <f>IF(OR(V197="none"),0,((NETWORKDAYS(S197,V197,Holidays!A$2:A$13))-1))</f>
        <v>10</v>
      </c>
      <c r="AP197" s="16" t="b">
        <f t="shared" si="12"/>
        <v>0</v>
      </c>
      <c r="AQ197" s="16" t="b">
        <f t="shared" si="13"/>
        <v>1</v>
      </c>
      <c r="AR197" s="60" t="str">
        <f t="shared" si="14"/>
        <v>OK</v>
      </c>
      <c r="AS197" s="60" t="str">
        <f>IF(table_data[[#This Row],[Flagged-Issues]] = 0, "", table_data[[#This Row],[Flagged-Issues]])</f>
        <v/>
      </c>
    </row>
    <row r="198" spans="1:45" x14ac:dyDescent="0.25">
      <c r="A198" t="s">
        <v>104</v>
      </c>
      <c r="B198" t="s">
        <v>154</v>
      </c>
      <c r="C198" t="s">
        <v>122</v>
      </c>
      <c r="D198" s="65">
        <v>202504080958</v>
      </c>
      <c r="E198" t="s">
        <v>210</v>
      </c>
      <c r="F198" t="s">
        <v>134</v>
      </c>
      <c r="G198"/>
      <c r="H198" t="s">
        <v>415</v>
      </c>
      <c r="I198" t="s">
        <v>126</v>
      </c>
      <c r="J198" t="s">
        <v>127</v>
      </c>
      <c r="K198" t="s">
        <v>128</v>
      </c>
      <c r="L198">
        <v>2</v>
      </c>
      <c r="M198" t="s">
        <v>129</v>
      </c>
      <c r="N198">
        <v>4</v>
      </c>
      <c r="O198"/>
      <c r="P198"/>
      <c r="Q198"/>
      <c r="R198"/>
      <c r="S198" s="72">
        <v>45755</v>
      </c>
      <c r="T198" s="72">
        <v>45755</v>
      </c>
      <c r="U198" s="72">
        <v>45755</v>
      </c>
      <c r="V198" s="72" t="s">
        <v>130</v>
      </c>
      <c r="W198" s="72">
        <v>45756</v>
      </c>
      <c r="X198" s="72" t="s">
        <v>130</v>
      </c>
      <c r="Y198"/>
      <c r="Z198"/>
      <c r="AA198" t="s">
        <v>131</v>
      </c>
      <c r="AB198" t="s">
        <v>131</v>
      </c>
      <c r="AC198" t="s">
        <v>131</v>
      </c>
      <c r="AD198" t="s">
        <v>131</v>
      </c>
      <c r="AE198" t="s">
        <v>131</v>
      </c>
      <c r="AF198" t="s">
        <v>131</v>
      </c>
      <c r="AG198" t="s">
        <v>131</v>
      </c>
      <c r="AH198" t="s">
        <v>131</v>
      </c>
      <c r="AI198" t="s">
        <v>131</v>
      </c>
      <c r="AJ198">
        <v>0</v>
      </c>
      <c r="AK198" t="s">
        <v>131</v>
      </c>
      <c r="AL198" t="s">
        <v>132</v>
      </c>
      <c r="AM198" s="16">
        <f>IF(OR(AC198="Yes",K198="Info Request", K198="Side-Project"),0,(NETWORKDAYS(T198,U198,Holidays!A$2:A$13))-1)</f>
        <v>0</v>
      </c>
      <c r="AN198" s="16">
        <f>IF(OR(AC198="Yes",K198="Info Request", K198="Side-Project"),0,(NETWORKDAYS(U198,W198,Holidays!A$2:A$13))-1)</f>
        <v>1</v>
      </c>
      <c r="AO198" s="16">
        <f>IF(OR(V198="none"),0,((NETWORKDAYS(S198,V198,Holidays!A$2:A$13))-1))</f>
        <v>0</v>
      </c>
      <c r="AP198" s="16" t="b">
        <f t="shared" si="12"/>
        <v>1</v>
      </c>
      <c r="AQ198" s="16" t="b">
        <f t="shared" si="13"/>
        <v>1</v>
      </c>
      <c r="AR198" s="60" t="str">
        <f t="shared" si="14"/>
        <v>OK</v>
      </c>
      <c r="AS198" s="60" t="str">
        <f>IF(table_data[[#This Row],[Flagged-Issues]] = 0, "", table_data[[#This Row],[Flagged-Issues]])</f>
        <v/>
      </c>
    </row>
    <row r="199" spans="1:45" x14ac:dyDescent="0.25">
      <c r="A199" t="s">
        <v>104</v>
      </c>
      <c r="B199" t="s">
        <v>154</v>
      </c>
      <c r="C199" t="s">
        <v>122</v>
      </c>
      <c r="D199" s="65">
        <v>202504140810</v>
      </c>
      <c r="E199" t="s">
        <v>220</v>
      </c>
      <c r="F199" t="s">
        <v>134</v>
      </c>
      <c r="G199"/>
      <c r="H199" t="s">
        <v>416</v>
      </c>
      <c r="I199" t="s">
        <v>126</v>
      </c>
      <c r="J199" t="s">
        <v>136</v>
      </c>
      <c r="K199" t="s">
        <v>128</v>
      </c>
      <c r="L199">
        <v>2</v>
      </c>
      <c r="M199" t="s">
        <v>137</v>
      </c>
      <c r="N199">
        <v>1</v>
      </c>
      <c r="O199"/>
      <c r="P199"/>
      <c r="Q199"/>
      <c r="R199"/>
      <c r="S199" s="72">
        <v>45761</v>
      </c>
      <c r="T199" s="72">
        <v>45761</v>
      </c>
      <c r="U199" s="72">
        <v>45761</v>
      </c>
      <c r="V199" s="72" t="s">
        <v>130</v>
      </c>
      <c r="W199" s="72">
        <v>45761</v>
      </c>
      <c r="X199" s="72" t="s">
        <v>130</v>
      </c>
      <c r="Y199"/>
      <c r="Z199"/>
      <c r="AA199" t="s">
        <v>131</v>
      </c>
      <c r="AB199" t="s">
        <v>131</v>
      </c>
      <c r="AC199" t="s">
        <v>131</v>
      </c>
      <c r="AD199" t="s">
        <v>131</v>
      </c>
      <c r="AE199" t="s">
        <v>131</v>
      </c>
      <c r="AF199" t="s">
        <v>131</v>
      </c>
      <c r="AG199" t="s">
        <v>131</v>
      </c>
      <c r="AH199" t="s">
        <v>131</v>
      </c>
      <c r="AI199" t="s">
        <v>131</v>
      </c>
      <c r="AJ199">
        <v>0</v>
      </c>
      <c r="AK199" t="s">
        <v>131</v>
      </c>
      <c r="AL199" t="s">
        <v>132</v>
      </c>
      <c r="AM199" s="16">
        <f>IF(OR(AC199="Yes",K199="Info Request", K199="Side-Project"),0,(NETWORKDAYS(T199,U199,Holidays!A$2:A$13))-1)</f>
        <v>0</v>
      </c>
      <c r="AN199" s="16">
        <f>IF(OR(AC199="Yes",K199="Info Request", K199="Side-Project"),0,(NETWORKDAYS(U199,W199,Holidays!A$2:A$13))-1)</f>
        <v>0</v>
      </c>
      <c r="AO199" s="16">
        <f>IF(OR(V199="none"),0,((NETWORKDAYS(S199,V199,Holidays!A$2:A$13))-1))</f>
        <v>0</v>
      </c>
      <c r="AP199" s="16" t="b">
        <f t="shared" si="12"/>
        <v>1</v>
      </c>
      <c r="AQ199" s="16" t="b">
        <f t="shared" si="13"/>
        <v>1</v>
      </c>
      <c r="AR199" s="60" t="str">
        <f t="shared" si="14"/>
        <v>OK</v>
      </c>
      <c r="AS199" s="60" t="str">
        <f>IF(table_data[[#This Row],[Flagged-Issues]] = 0, "", table_data[[#This Row],[Flagged-Issues]])</f>
        <v/>
      </c>
    </row>
    <row r="200" spans="1:45" x14ac:dyDescent="0.25">
      <c r="A200" t="s">
        <v>29</v>
      </c>
      <c r="B200" t="s">
        <v>154</v>
      </c>
      <c r="C200" t="s">
        <v>122</v>
      </c>
      <c r="D200" s="65">
        <v>202504101440</v>
      </c>
      <c r="E200" t="s">
        <v>338</v>
      </c>
      <c r="F200" t="s">
        <v>173</v>
      </c>
      <c r="G200"/>
      <c r="H200" t="s">
        <v>417</v>
      </c>
      <c r="I200" t="s">
        <v>126</v>
      </c>
      <c r="J200" t="s">
        <v>145</v>
      </c>
      <c r="K200" t="s">
        <v>128</v>
      </c>
      <c r="L200">
        <v>2</v>
      </c>
      <c r="M200" t="s">
        <v>162</v>
      </c>
      <c r="N200">
        <v>4</v>
      </c>
      <c r="O200"/>
      <c r="P200"/>
      <c r="Q200">
        <v>2</v>
      </c>
      <c r="R200"/>
      <c r="S200" s="72">
        <v>45757</v>
      </c>
      <c r="T200" s="72">
        <v>45764</v>
      </c>
      <c r="U200" s="72">
        <v>45764</v>
      </c>
      <c r="V200" s="72" t="s">
        <v>130</v>
      </c>
      <c r="W200" s="72">
        <v>45769</v>
      </c>
      <c r="X200" s="72" t="s">
        <v>130</v>
      </c>
      <c r="Y200"/>
      <c r="Z200"/>
      <c r="AA200" t="s">
        <v>131</v>
      </c>
      <c r="AB200" t="s">
        <v>131</v>
      </c>
      <c r="AC200" t="s">
        <v>131</v>
      </c>
      <c r="AD200" t="s">
        <v>131</v>
      </c>
      <c r="AE200" t="s">
        <v>131</v>
      </c>
      <c r="AF200" t="s">
        <v>131</v>
      </c>
      <c r="AG200" t="s">
        <v>131</v>
      </c>
      <c r="AH200" t="s">
        <v>131</v>
      </c>
      <c r="AI200" t="s">
        <v>131</v>
      </c>
      <c r="AJ200">
        <v>0</v>
      </c>
      <c r="AK200" t="s">
        <v>131</v>
      </c>
      <c r="AL200" t="s">
        <v>132</v>
      </c>
      <c r="AM200" s="16">
        <f>IF(OR(AC200="Yes",K200="Info Request", K200="Side-Project"),0,(NETWORKDAYS(T200,U200,Holidays!A$2:A$13))-1)</f>
        <v>0</v>
      </c>
      <c r="AN200" s="16">
        <f>IF(OR(AC200="Yes",K200="Info Request", K200="Side-Project"),0,(NETWORKDAYS(U200,W200,Holidays!A$2:A$13))-1)</f>
        <v>1</v>
      </c>
      <c r="AO200" s="16">
        <f>IF(OR(V200="none"),0,((NETWORKDAYS(S200,V200,Holidays!A$2:A$13))-1))</f>
        <v>0</v>
      </c>
      <c r="AP200" s="16" t="b">
        <f t="shared" si="12"/>
        <v>1</v>
      </c>
      <c r="AQ200" s="16" t="b">
        <f t="shared" si="13"/>
        <v>1</v>
      </c>
      <c r="AR200" s="60" t="str">
        <f t="shared" si="14"/>
        <v>OK</v>
      </c>
      <c r="AS200" s="60" t="str">
        <f>IF(table_data[[#This Row],[Flagged-Issues]] = 0, "", table_data[[#This Row],[Flagged-Issues]])</f>
        <v/>
      </c>
    </row>
    <row r="201" spans="1:45" x14ac:dyDescent="0.25">
      <c r="A201" t="s">
        <v>29</v>
      </c>
      <c r="B201" t="s">
        <v>154</v>
      </c>
      <c r="C201" t="s">
        <v>122</v>
      </c>
      <c r="D201" s="65">
        <v>202504111020</v>
      </c>
      <c r="E201" t="s">
        <v>230</v>
      </c>
      <c r="F201" t="s">
        <v>231</v>
      </c>
      <c r="G201"/>
      <c r="H201" t="s">
        <v>418</v>
      </c>
      <c r="I201" t="s">
        <v>126</v>
      </c>
      <c r="J201" t="s">
        <v>151</v>
      </c>
      <c r="K201" t="s">
        <v>128</v>
      </c>
      <c r="L201">
        <v>2</v>
      </c>
      <c r="M201" t="s">
        <v>141</v>
      </c>
      <c r="N201">
        <v>2</v>
      </c>
      <c r="O201"/>
      <c r="P201"/>
      <c r="Q201"/>
      <c r="R201"/>
      <c r="S201" s="72">
        <v>45758</v>
      </c>
      <c r="T201" s="72">
        <v>45769</v>
      </c>
      <c r="U201" s="72">
        <v>45769</v>
      </c>
      <c r="V201" s="72" t="s">
        <v>130</v>
      </c>
      <c r="W201" s="72">
        <v>45769</v>
      </c>
      <c r="X201" s="72" t="s">
        <v>130</v>
      </c>
      <c r="Y201"/>
      <c r="Z201"/>
      <c r="AA201" t="s">
        <v>131</v>
      </c>
      <c r="AB201" t="s">
        <v>131</v>
      </c>
      <c r="AC201" t="s">
        <v>131</v>
      </c>
      <c r="AD201" t="s">
        <v>131</v>
      </c>
      <c r="AE201" t="s">
        <v>131</v>
      </c>
      <c r="AF201" t="s">
        <v>131</v>
      </c>
      <c r="AG201" t="s">
        <v>131</v>
      </c>
      <c r="AH201" t="s">
        <v>131</v>
      </c>
      <c r="AI201" t="s">
        <v>131</v>
      </c>
      <c r="AJ201">
        <v>0</v>
      </c>
      <c r="AK201" t="s">
        <v>131</v>
      </c>
      <c r="AL201" t="s">
        <v>132</v>
      </c>
      <c r="AM201" s="16">
        <f>IF(OR(AC201="Yes",K201="Info Request", K201="Side-Project"),0,(NETWORKDAYS(T201,U201,Holidays!A$2:A$13))-1)</f>
        <v>0</v>
      </c>
      <c r="AN201" s="16">
        <f>IF(OR(AC201="Yes",K201="Info Request", K201="Side-Project"),0,(NETWORKDAYS(U201,W201,Holidays!A$2:A$13))-1)</f>
        <v>0</v>
      </c>
      <c r="AO201" s="16">
        <f>IF(OR(V201="none"),0,((NETWORKDAYS(S201,V201,Holidays!A$2:A$13))-1))</f>
        <v>0</v>
      </c>
      <c r="AP201" s="16" t="b">
        <f t="shared" si="12"/>
        <v>1</v>
      </c>
      <c r="AQ201" s="16" t="b">
        <f t="shared" si="13"/>
        <v>1</v>
      </c>
      <c r="AR201" s="60" t="str">
        <f t="shared" si="14"/>
        <v>OK</v>
      </c>
      <c r="AS201" s="60" t="str">
        <f>IF(table_data[[#This Row],[Flagged-Issues]] = 0, "", table_data[[#This Row],[Flagged-Issues]])</f>
        <v/>
      </c>
    </row>
    <row r="202" spans="1:45" x14ac:dyDescent="0.25">
      <c r="A202" t="s">
        <v>29</v>
      </c>
      <c r="B202" t="s">
        <v>154</v>
      </c>
      <c r="C202" t="s">
        <v>122</v>
      </c>
      <c r="D202" s="65">
        <v>202504161419</v>
      </c>
      <c r="E202" t="s">
        <v>230</v>
      </c>
      <c r="F202" t="s">
        <v>231</v>
      </c>
      <c r="G202"/>
      <c r="H202" t="s">
        <v>419</v>
      </c>
      <c r="I202" t="s">
        <v>126</v>
      </c>
      <c r="J202" t="s">
        <v>145</v>
      </c>
      <c r="K202" t="s">
        <v>128</v>
      </c>
      <c r="L202">
        <v>2</v>
      </c>
      <c r="M202" t="s">
        <v>129</v>
      </c>
      <c r="N202">
        <v>4</v>
      </c>
      <c r="O202"/>
      <c r="P202"/>
      <c r="Q202"/>
      <c r="R202"/>
      <c r="S202" s="72">
        <v>45763</v>
      </c>
      <c r="T202" s="72">
        <v>45769</v>
      </c>
      <c r="U202" s="72">
        <v>45769</v>
      </c>
      <c r="V202" s="72" t="s">
        <v>130</v>
      </c>
      <c r="W202" s="72">
        <v>45769</v>
      </c>
      <c r="X202" s="72" t="s">
        <v>130</v>
      </c>
      <c r="Y202"/>
      <c r="Z202"/>
      <c r="AA202" t="s">
        <v>131</v>
      </c>
      <c r="AB202" t="s">
        <v>131</v>
      </c>
      <c r="AC202" t="s">
        <v>131</v>
      </c>
      <c r="AD202" t="s">
        <v>131</v>
      </c>
      <c r="AE202" t="s">
        <v>131</v>
      </c>
      <c r="AF202" t="s">
        <v>131</v>
      </c>
      <c r="AG202" t="s">
        <v>131</v>
      </c>
      <c r="AH202" t="s">
        <v>131</v>
      </c>
      <c r="AI202" t="s">
        <v>131</v>
      </c>
      <c r="AJ202">
        <v>0</v>
      </c>
      <c r="AK202" t="s">
        <v>131</v>
      </c>
      <c r="AL202" t="s">
        <v>132</v>
      </c>
      <c r="AM202" s="16">
        <f>IF(OR(AC202="Yes",K202="Info Request", K202="Side-Project"),0,(NETWORKDAYS(T202,U202,Holidays!A$2:A$13))-1)</f>
        <v>0</v>
      </c>
      <c r="AN202" s="16">
        <f>IF(OR(AC202="Yes",K202="Info Request", K202="Side-Project"),0,(NETWORKDAYS(U202,W202,Holidays!A$2:A$13))-1)</f>
        <v>0</v>
      </c>
      <c r="AO202" s="16">
        <f>IF(OR(V202="none"),0,((NETWORKDAYS(S202,V202,Holidays!A$2:A$13))-1))</f>
        <v>0</v>
      </c>
      <c r="AP202" s="16" t="b">
        <f t="shared" si="12"/>
        <v>1</v>
      </c>
      <c r="AQ202" s="16" t="b">
        <f t="shared" si="13"/>
        <v>1</v>
      </c>
      <c r="AR202" s="60" t="str">
        <f t="shared" si="14"/>
        <v>OK</v>
      </c>
      <c r="AS202" s="60" t="str">
        <f>IF(table_data[[#This Row],[Flagged-Issues]] = 0, "", table_data[[#This Row],[Flagged-Issues]])</f>
        <v/>
      </c>
    </row>
    <row r="203" spans="1:45" x14ac:dyDescent="0.25">
      <c r="A203" t="s">
        <v>29</v>
      </c>
      <c r="B203" t="s">
        <v>154</v>
      </c>
      <c r="C203" t="s">
        <v>122</v>
      </c>
      <c r="D203" s="65">
        <v>202503260921</v>
      </c>
      <c r="E203" t="s">
        <v>230</v>
      </c>
      <c r="F203" t="s">
        <v>231</v>
      </c>
      <c r="G203"/>
      <c r="H203" t="s">
        <v>420</v>
      </c>
      <c r="I203" t="s">
        <v>126</v>
      </c>
      <c r="J203" t="s">
        <v>127</v>
      </c>
      <c r="K203" t="s">
        <v>128</v>
      </c>
      <c r="L203">
        <v>3</v>
      </c>
      <c r="M203" t="s">
        <v>421</v>
      </c>
      <c r="N203">
        <v>2</v>
      </c>
      <c r="O203">
        <v>10</v>
      </c>
      <c r="P203"/>
      <c r="Q203"/>
      <c r="R203"/>
      <c r="S203" s="72">
        <v>45742</v>
      </c>
      <c r="T203" s="72">
        <v>45750</v>
      </c>
      <c r="U203" s="72">
        <v>45751</v>
      </c>
      <c r="V203" s="72" t="s">
        <v>130</v>
      </c>
      <c r="W203" s="72">
        <v>45754</v>
      </c>
      <c r="X203" s="72" t="s">
        <v>130</v>
      </c>
      <c r="Y203" t="s">
        <v>146</v>
      </c>
      <c r="Z203" t="s">
        <v>147</v>
      </c>
      <c r="AA203" t="s">
        <v>131</v>
      </c>
      <c r="AB203" t="s">
        <v>131</v>
      </c>
      <c r="AC203" t="s">
        <v>131</v>
      </c>
      <c r="AD203" t="s">
        <v>131</v>
      </c>
      <c r="AE203" t="s">
        <v>131</v>
      </c>
      <c r="AF203" t="s">
        <v>131</v>
      </c>
      <c r="AG203" t="s">
        <v>131</v>
      </c>
      <c r="AH203" t="s">
        <v>131</v>
      </c>
      <c r="AI203" t="s">
        <v>131</v>
      </c>
      <c r="AJ203">
        <v>0</v>
      </c>
      <c r="AK203" t="s">
        <v>131</v>
      </c>
      <c r="AL203" t="s">
        <v>148</v>
      </c>
      <c r="AM203" s="16">
        <f>IF(OR(AC203="Yes",K203="Info Request", K203="Side-Project"),0,(NETWORKDAYS(T203,U203,Holidays!A$2:A$13))-1)</f>
        <v>1</v>
      </c>
      <c r="AN203" s="16">
        <f>IF(OR(AC203="Yes",K203="Info Request", K203="Side-Project"),0,(NETWORKDAYS(U203,W203,Holidays!A$2:A$13))-1)</f>
        <v>1</v>
      </c>
      <c r="AO203" s="16">
        <f>IF(OR(V203="none"),0,((NETWORKDAYS(S203,V203,Holidays!A$2:A$13))-1))</f>
        <v>0</v>
      </c>
      <c r="AP203" s="16" t="b">
        <f t="shared" si="12"/>
        <v>1</v>
      </c>
      <c r="AQ203" s="16" t="b">
        <f t="shared" si="13"/>
        <v>1</v>
      </c>
      <c r="AR203" s="60" t="str">
        <f t="shared" si="14"/>
        <v>OK</v>
      </c>
      <c r="AS203" s="60" t="str">
        <f>IF(table_data[[#This Row],[Flagged-Issues]] = 0, "", table_data[[#This Row],[Flagged-Issues]])</f>
        <v/>
      </c>
    </row>
    <row r="204" spans="1:45" x14ac:dyDescent="0.25">
      <c r="A204" t="s">
        <v>29</v>
      </c>
      <c r="B204" t="s">
        <v>154</v>
      </c>
      <c r="C204" t="s">
        <v>122</v>
      </c>
      <c r="D204" s="65">
        <v>202503260926</v>
      </c>
      <c r="E204" t="s">
        <v>230</v>
      </c>
      <c r="F204" t="s">
        <v>231</v>
      </c>
      <c r="G204"/>
      <c r="H204" t="s">
        <v>422</v>
      </c>
      <c r="I204" t="s">
        <v>126</v>
      </c>
      <c r="J204" t="s">
        <v>157</v>
      </c>
      <c r="K204" t="s">
        <v>128</v>
      </c>
      <c r="L204">
        <v>3</v>
      </c>
      <c r="M204" t="s">
        <v>175</v>
      </c>
      <c r="N204">
        <v>2</v>
      </c>
      <c r="O204">
        <v>10</v>
      </c>
      <c r="P204"/>
      <c r="Q204"/>
      <c r="R204"/>
      <c r="S204" s="72">
        <v>45742</v>
      </c>
      <c r="T204" s="72">
        <v>45750</v>
      </c>
      <c r="U204" s="72">
        <v>45750</v>
      </c>
      <c r="V204" s="72" t="s">
        <v>130</v>
      </c>
      <c r="W204" s="72">
        <v>45754</v>
      </c>
      <c r="X204" s="72" t="s">
        <v>130</v>
      </c>
      <c r="Y204" t="s">
        <v>146</v>
      </c>
      <c r="Z204" t="s">
        <v>147</v>
      </c>
      <c r="AA204" t="s">
        <v>131</v>
      </c>
      <c r="AB204" t="s">
        <v>131</v>
      </c>
      <c r="AC204" t="s">
        <v>131</v>
      </c>
      <c r="AD204" t="s">
        <v>131</v>
      </c>
      <c r="AE204" t="s">
        <v>131</v>
      </c>
      <c r="AF204" t="s">
        <v>131</v>
      </c>
      <c r="AG204" t="s">
        <v>131</v>
      </c>
      <c r="AH204" t="s">
        <v>131</v>
      </c>
      <c r="AI204" t="s">
        <v>132</v>
      </c>
      <c r="AJ204">
        <v>0</v>
      </c>
      <c r="AK204" t="s">
        <v>132</v>
      </c>
      <c r="AL204" t="s">
        <v>148</v>
      </c>
      <c r="AM204" s="16">
        <f>IF(OR(AC204="Yes",K204="Info Request", K204="Side-Project"),0,(NETWORKDAYS(T204,U204,Holidays!A$2:A$13))-1)</f>
        <v>0</v>
      </c>
      <c r="AN204" s="16">
        <f>IF(OR(AC204="Yes",K204="Info Request", K204="Side-Project"),0,(NETWORKDAYS(U204,W204,Holidays!A$2:A$13))-1)</f>
        <v>2</v>
      </c>
      <c r="AO204" s="16">
        <f>IF(OR(V204="none"),0,((NETWORKDAYS(S204,V204,Holidays!A$2:A$13))-1))</f>
        <v>0</v>
      </c>
      <c r="AP204" s="16" t="b">
        <f t="shared" si="12"/>
        <v>1</v>
      </c>
      <c r="AQ204" s="16" t="b">
        <f t="shared" si="13"/>
        <v>1</v>
      </c>
      <c r="AR204" s="60" t="str">
        <f t="shared" si="14"/>
        <v>OK</v>
      </c>
      <c r="AS204" s="60" t="str">
        <f>IF(table_data[[#This Row],[Flagged-Issues]] = 0, "", table_data[[#This Row],[Flagged-Issues]])</f>
        <v/>
      </c>
    </row>
    <row r="205" spans="1:45" x14ac:dyDescent="0.25">
      <c r="A205" t="s">
        <v>29</v>
      </c>
      <c r="B205" t="s">
        <v>154</v>
      </c>
      <c r="C205" t="s">
        <v>122</v>
      </c>
      <c r="D205" s="65">
        <v>202503181541</v>
      </c>
      <c r="E205" t="s">
        <v>230</v>
      </c>
      <c r="F205" t="s">
        <v>231</v>
      </c>
      <c r="G205"/>
      <c r="H205" t="s">
        <v>423</v>
      </c>
      <c r="I205" t="s">
        <v>203</v>
      </c>
      <c r="J205" t="s">
        <v>145</v>
      </c>
      <c r="K205" t="s">
        <v>128</v>
      </c>
      <c r="L205">
        <v>5</v>
      </c>
      <c r="M205" t="s">
        <v>241</v>
      </c>
      <c r="N205">
        <v>2</v>
      </c>
      <c r="O205">
        <v>10</v>
      </c>
      <c r="P205"/>
      <c r="Q205"/>
      <c r="R205"/>
      <c r="S205" s="72">
        <v>45736</v>
      </c>
      <c r="T205" s="72">
        <v>45748</v>
      </c>
      <c r="U205" s="72">
        <v>45750</v>
      </c>
      <c r="V205" s="72" t="s">
        <v>130</v>
      </c>
      <c r="W205" s="72">
        <v>45755</v>
      </c>
      <c r="X205" s="72" t="s">
        <v>130</v>
      </c>
      <c r="Y205" t="s">
        <v>146</v>
      </c>
      <c r="Z205" t="s">
        <v>147</v>
      </c>
      <c r="AA205" t="s">
        <v>131</v>
      </c>
      <c r="AB205" t="s">
        <v>131</v>
      </c>
      <c r="AC205" t="s">
        <v>131</v>
      </c>
      <c r="AD205" t="s">
        <v>132</v>
      </c>
      <c r="AE205" t="s">
        <v>131</v>
      </c>
      <c r="AF205" t="s">
        <v>131</v>
      </c>
      <c r="AG205" t="s">
        <v>132</v>
      </c>
      <c r="AH205" t="s">
        <v>131</v>
      </c>
      <c r="AI205" t="s">
        <v>132</v>
      </c>
      <c r="AJ205">
        <v>0</v>
      </c>
      <c r="AK205" t="s">
        <v>132</v>
      </c>
      <c r="AL205" t="s">
        <v>131</v>
      </c>
      <c r="AM205" s="16">
        <f>IF(OR(AC205="Yes",K205="Info Request", K205="Side-Project"),0,(NETWORKDAYS(T205,U205,Holidays!A$2:A$13))-1)</f>
        <v>2</v>
      </c>
      <c r="AN205" s="16">
        <f>IF(OR(AC205="Yes",K205="Info Request", K205="Side-Project"),0,(NETWORKDAYS(U205,W205,Holidays!A$2:A$13))-1)</f>
        <v>3</v>
      </c>
      <c r="AO205" s="16">
        <f>IF(OR(V205="none"),0,((NETWORKDAYS(S205,V205,Holidays!A$2:A$13))-1))</f>
        <v>0</v>
      </c>
      <c r="AP205" s="16" t="b">
        <f t="shared" si="12"/>
        <v>1</v>
      </c>
      <c r="AQ205" s="16" t="b">
        <f t="shared" si="13"/>
        <v>1</v>
      </c>
      <c r="AR205" s="60" t="str">
        <f t="shared" si="14"/>
        <v>OK</v>
      </c>
      <c r="AS205" s="60" t="str">
        <f>IF(table_data[[#This Row],[Flagged-Issues]] = 0, "", table_data[[#This Row],[Flagged-Issues]])</f>
        <v/>
      </c>
    </row>
    <row r="206" spans="1:45" x14ac:dyDescent="0.25">
      <c r="A206" t="s">
        <v>29</v>
      </c>
      <c r="B206" t="s">
        <v>154</v>
      </c>
      <c r="C206" t="s">
        <v>122</v>
      </c>
      <c r="D206" s="65">
        <v>202504021337</v>
      </c>
      <c r="E206" t="s">
        <v>230</v>
      </c>
      <c r="F206" t="s">
        <v>231</v>
      </c>
      <c r="G206"/>
      <c r="H206" t="s">
        <v>424</v>
      </c>
      <c r="I206" t="s">
        <v>126</v>
      </c>
      <c r="J206" t="s">
        <v>151</v>
      </c>
      <c r="K206" t="s">
        <v>128</v>
      </c>
      <c r="L206">
        <v>2</v>
      </c>
      <c r="M206" t="s">
        <v>158</v>
      </c>
      <c r="N206">
        <v>2</v>
      </c>
      <c r="O206"/>
      <c r="P206"/>
      <c r="Q206"/>
      <c r="R206"/>
      <c r="S206" s="72">
        <v>45749</v>
      </c>
      <c r="T206" s="72">
        <v>45754</v>
      </c>
      <c r="U206" s="72">
        <v>45754</v>
      </c>
      <c r="V206" s="72" t="s">
        <v>130</v>
      </c>
      <c r="W206" s="72">
        <v>45754</v>
      </c>
      <c r="X206" s="72" t="s">
        <v>130</v>
      </c>
      <c r="Y206" t="s">
        <v>146</v>
      </c>
      <c r="Z206" t="s">
        <v>147</v>
      </c>
      <c r="AA206" t="s">
        <v>131</v>
      </c>
      <c r="AB206" t="s">
        <v>131</v>
      </c>
      <c r="AC206" t="s">
        <v>131</v>
      </c>
      <c r="AD206" t="s">
        <v>131</v>
      </c>
      <c r="AE206" t="s">
        <v>131</v>
      </c>
      <c r="AF206" t="s">
        <v>131</v>
      </c>
      <c r="AG206" t="s">
        <v>131</v>
      </c>
      <c r="AH206" t="s">
        <v>131</v>
      </c>
      <c r="AI206" t="s">
        <v>131</v>
      </c>
      <c r="AJ206">
        <v>0</v>
      </c>
      <c r="AK206" t="s">
        <v>131</v>
      </c>
      <c r="AL206" t="s">
        <v>148</v>
      </c>
      <c r="AM206" s="16">
        <f>IF(OR(AC206="Yes",K206="Info Request", K206="Side-Project"),0,(NETWORKDAYS(T206,U206,Holidays!A$2:A$13))-1)</f>
        <v>0</v>
      </c>
      <c r="AN206" s="16">
        <f>IF(OR(AC206="Yes",K206="Info Request", K206="Side-Project"),0,(NETWORKDAYS(U206,W206,Holidays!A$2:A$13))-1)</f>
        <v>0</v>
      </c>
      <c r="AO206" s="16">
        <f>IF(OR(V206="none"),0,((NETWORKDAYS(S206,V206,Holidays!A$2:A$13))-1))</f>
        <v>0</v>
      </c>
      <c r="AP206" s="16" t="b">
        <f t="shared" si="12"/>
        <v>1</v>
      </c>
      <c r="AQ206" s="16" t="b">
        <f t="shared" si="13"/>
        <v>1</v>
      </c>
      <c r="AR206" s="60" t="str">
        <f t="shared" si="14"/>
        <v>OK</v>
      </c>
      <c r="AS206" s="60" t="str">
        <f>IF(table_data[[#This Row],[Flagged-Issues]] = 0, "", table_data[[#This Row],[Flagged-Issues]])</f>
        <v/>
      </c>
    </row>
    <row r="207" spans="1:45" x14ac:dyDescent="0.25">
      <c r="A207" t="s">
        <v>29</v>
      </c>
      <c r="B207" t="s">
        <v>154</v>
      </c>
      <c r="C207" t="s">
        <v>122</v>
      </c>
      <c r="D207" s="65">
        <v>202504020834</v>
      </c>
      <c r="E207" t="s">
        <v>230</v>
      </c>
      <c r="F207" t="s">
        <v>231</v>
      </c>
      <c r="G207"/>
      <c r="H207" t="s">
        <v>425</v>
      </c>
      <c r="I207" t="s">
        <v>126</v>
      </c>
      <c r="J207" t="s">
        <v>136</v>
      </c>
      <c r="K207" t="s">
        <v>128</v>
      </c>
      <c r="L207">
        <v>2</v>
      </c>
      <c r="M207" t="s">
        <v>426</v>
      </c>
      <c r="N207">
        <v>2</v>
      </c>
      <c r="O207"/>
      <c r="P207"/>
      <c r="Q207">
        <v>2</v>
      </c>
      <c r="R207"/>
      <c r="S207" s="72">
        <v>45749</v>
      </c>
      <c r="T207" s="72">
        <v>45755</v>
      </c>
      <c r="U207" s="72">
        <v>45755</v>
      </c>
      <c r="V207" s="72" t="s">
        <v>130</v>
      </c>
      <c r="W207" s="72">
        <v>45755</v>
      </c>
      <c r="X207" s="72" t="s">
        <v>130</v>
      </c>
      <c r="Y207"/>
      <c r="Z207"/>
      <c r="AA207" t="s">
        <v>131</v>
      </c>
      <c r="AB207" t="s">
        <v>131</v>
      </c>
      <c r="AC207" t="s">
        <v>131</v>
      </c>
      <c r="AD207" t="s">
        <v>131</v>
      </c>
      <c r="AE207" t="s">
        <v>131</v>
      </c>
      <c r="AF207" t="s">
        <v>131</v>
      </c>
      <c r="AG207" t="s">
        <v>131</v>
      </c>
      <c r="AH207" t="s">
        <v>131</v>
      </c>
      <c r="AI207" t="s">
        <v>131</v>
      </c>
      <c r="AJ207">
        <v>0</v>
      </c>
      <c r="AK207" t="s">
        <v>131</v>
      </c>
      <c r="AL207" t="s">
        <v>132</v>
      </c>
      <c r="AM207" s="16">
        <f>IF(OR(AC207="Yes",K207="Info Request", K207="Side-Project"),0,(NETWORKDAYS(T207,U207,Holidays!A$2:A$13))-1)</f>
        <v>0</v>
      </c>
      <c r="AN207" s="16">
        <f>IF(OR(AC207="Yes",K207="Info Request", K207="Side-Project"),0,(NETWORKDAYS(U207,W207,Holidays!A$2:A$13))-1)</f>
        <v>0</v>
      </c>
      <c r="AO207" s="16">
        <f>IF(OR(V207="none"),0,((NETWORKDAYS(S207,V207,Holidays!A$2:A$13))-1))</f>
        <v>0</v>
      </c>
      <c r="AP207" s="16" t="b">
        <f t="shared" si="12"/>
        <v>1</v>
      </c>
      <c r="AQ207" s="16" t="b">
        <f t="shared" si="13"/>
        <v>1</v>
      </c>
      <c r="AR207" s="60" t="str">
        <f t="shared" si="14"/>
        <v>OK</v>
      </c>
      <c r="AS207" s="60" t="str">
        <f>IF(table_data[[#This Row],[Flagged-Issues]] = 0, "", table_data[[#This Row],[Flagged-Issues]])</f>
        <v/>
      </c>
    </row>
    <row r="208" spans="1:45" x14ac:dyDescent="0.25">
      <c r="A208" t="s">
        <v>29</v>
      </c>
      <c r="B208" t="s">
        <v>154</v>
      </c>
      <c r="C208" t="s">
        <v>122</v>
      </c>
      <c r="D208" s="65">
        <v>202503171103</v>
      </c>
      <c r="E208" t="s">
        <v>230</v>
      </c>
      <c r="F208" t="s">
        <v>231</v>
      </c>
      <c r="G208"/>
      <c r="H208" t="s">
        <v>427</v>
      </c>
      <c r="I208" t="s">
        <v>203</v>
      </c>
      <c r="J208" t="s">
        <v>167</v>
      </c>
      <c r="K208" t="s">
        <v>128</v>
      </c>
      <c r="L208">
        <v>1</v>
      </c>
      <c r="M208" t="s">
        <v>162</v>
      </c>
      <c r="N208">
        <v>6</v>
      </c>
      <c r="O208"/>
      <c r="P208"/>
      <c r="Q208"/>
      <c r="R208"/>
      <c r="S208" s="72">
        <v>45734</v>
      </c>
      <c r="T208" s="72">
        <v>45741</v>
      </c>
      <c r="U208" s="72">
        <v>45741</v>
      </c>
      <c r="V208" s="72">
        <v>45740</v>
      </c>
      <c r="W208" s="72">
        <v>45772</v>
      </c>
      <c r="X208" s="72">
        <v>45740</v>
      </c>
      <c r="Y208"/>
      <c r="Z208"/>
      <c r="AA208" t="s">
        <v>131</v>
      </c>
      <c r="AB208" t="s">
        <v>131</v>
      </c>
      <c r="AC208" t="s">
        <v>131</v>
      </c>
      <c r="AD208" t="s">
        <v>131</v>
      </c>
      <c r="AE208" t="s">
        <v>131</v>
      </c>
      <c r="AF208" t="s">
        <v>131</v>
      </c>
      <c r="AG208" t="s">
        <v>131</v>
      </c>
      <c r="AH208" t="s">
        <v>131</v>
      </c>
      <c r="AI208" t="s">
        <v>131</v>
      </c>
      <c r="AJ208">
        <v>0</v>
      </c>
      <c r="AK208" t="s">
        <v>131</v>
      </c>
      <c r="AL208" t="s">
        <v>132</v>
      </c>
      <c r="AM208" s="16">
        <f>IF(OR(AC208="Yes",K208="Info Request", K208="Side-Project"),0,(NETWORKDAYS(T208,U208,Holidays!A$2:A$13))-1)</f>
        <v>0</v>
      </c>
      <c r="AN208" s="16">
        <f>IF(OR(AC208="Yes",K208="Info Request", K208="Side-Project"),0,(NETWORKDAYS(U208,W208,Holidays!A$2:A$13))-1)</f>
        <v>21</v>
      </c>
      <c r="AO208" s="16">
        <f>IF(OR(V208="none"),0,((NETWORKDAYS(S208,V208,Holidays!A$2:A$13))-1))</f>
        <v>4</v>
      </c>
      <c r="AP208" s="16" t="b">
        <f t="shared" si="12"/>
        <v>0</v>
      </c>
      <c r="AQ208" s="16" t="b">
        <f t="shared" si="13"/>
        <v>1</v>
      </c>
      <c r="AR208" s="60" t="str">
        <f t="shared" si="14"/>
        <v>OK</v>
      </c>
      <c r="AS208" s="60" t="str">
        <f>IF(table_data[[#This Row],[Flagged-Issues]] = 0, "", table_data[[#This Row],[Flagged-Issues]])</f>
        <v/>
      </c>
    </row>
    <row r="209" spans="1:45" x14ac:dyDescent="0.25">
      <c r="A209" t="s">
        <v>29</v>
      </c>
      <c r="B209" t="s">
        <v>154</v>
      </c>
      <c r="C209" t="s">
        <v>122</v>
      </c>
      <c r="D209" s="65">
        <v>202504251311</v>
      </c>
      <c r="E209" t="s">
        <v>230</v>
      </c>
      <c r="F209" t="s">
        <v>231</v>
      </c>
      <c r="G209"/>
      <c r="H209" t="s">
        <v>428</v>
      </c>
      <c r="I209" t="s">
        <v>126</v>
      </c>
      <c r="J209" t="s">
        <v>167</v>
      </c>
      <c r="K209" t="s">
        <v>128</v>
      </c>
      <c r="L209">
        <v>2</v>
      </c>
      <c r="M209" t="s">
        <v>129</v>
      </c>
      <c r="N209">
        <v>4</v>
      </c>
      <c r="O209"/>
      <c r="P209"/>
      <c r="Q209"/>
      <c r="R209"/>
      <c r="S209" s="72">
        <v>45772</v>
      </c>
      <c r="T209" s="72">
        <v>45777</v>
      </c>
      <c r="U209" s="72">
        <v>45777</v>
      </c>
      <c r="V209" s="72" t="s">
        <v>130</v>
      </c>
      <c r="W209" s="72">
        <v>45777</v>
      </c>
      <c r="X209" s="72" t="s">
        <v>130</v>
      </c>
      <c r="Y209"/>
      <c r="Z209"/>
      <c r="AA209" t="s">
        <v>131</v>
      </c>
      <c r="AB209" t="s">
        <v>131</v>
      </c>
      <c r="AC209" t="s">
        <v>131</v>
      </c>
      <c r="AD209" t="s">
        <v>131</v>
      </c>
      <c r="AE209" t="s">
        <v>131</v>
      </c>
      <c r="AF209" t="s">
        <v>131</v>
      </c>
      <c r="AG209" t="s">
        <v>131</v>
      </c>
      <c r="AH209" t="s">
        <v>131</v>
      </c>
      <c r="AI209" t="s">
        <v>131</v>
      </c>
      <c r="AJ209">
        <v>0</v>
      </c>
      <c r="AK209" t="s">
        <v>131</v>
      </c>
      <c r="AL209" t="s">
        <v>132</v>
      </c>
      <c r="AM209" s="16">
        <f>IF(OR(AC209="Yes",K209="Info Request", K209="Side-Project"),0,(NETWORKDAYS(T209,U209,Holidays!A$2:A$13))-1)</f>
        <v>0</v>
      </c>
      <c r="AN209" s="16">
        <f>IF(OR(AC209="Yes",K209="Info Request", K209="Side-Project"),0,(NETWORKDAYS(U209,W209,Holidays!A$2:A$13))-1)</f>
        <v>0</v>
      </c>
      <c r="AO209" s="16">
        <f>IF(OR(V209="none"),0,((NETWORKDAYS(S209,V209,Holidays!A$2:A$13))-1))</f>
        <v>0</v>
      </c>
      <c r="AP209" s="16" t="b">
        <f t="shared" si="12"/>
        <v>1</v>
      </c>
      <c r="AQ209" s="16" t="b">
        <f t="shared" si="13"/>
        <v>1</v>
      </c>
      <c r="AR209" s="60" t="str">
        <f t="shared" si="14"/>
        <v>OK</v>
      </c>
      <c r="AS209" s="60" t="str">
        <f>IF(table_data[[#This Row],[Flagged-Issues]] = 0, "", table_data[[#This Row],[Flagged-Issues]])</f>
        <v/>
      </c>
    </row>
    <row r="210" spans="1:45" x14ac:dyDescent="0.25">
      <c r="A210" t="s">
        <v>29</v>
      </c>
      <c r="B210" t="s">
        <v>154</v>
      </c>
      <c r="C210" t="s">
        <v>122</v>
      </c>
      <c r="D210" s="65">
        <v>202504280829</v>
      </c>
      <c r="E210" t="s">
        <v>230</v>
      </c>
      <c r="F210" t="s">
        <v>231</v>
      </c>
      <c r="G210"/>
      <c r="H210" t="s">
        <v>429</v>
      </c>
      <c r="I210" t="s">
        <v>126</v>
      </c>
      <c r="J210" t="s">
        <v>127</v>
      </c>
      <c r="K210" t="s">
        <v>128</v>
      </c>
      <c r="L210">
        <v>2</v>
      </c>
      <c r="M210" t="s">
        <v>143</v>
      </c>
      <c r="N210">
        <v>2</v>
      </c>
      <c r="O210"/>
      <c r="P210"/>
      <c r="Q210"/>
      <c r="R210"/>
      <c r="S210" s="72">
        <v>45775</v>
      </c>
      <c r="T210" s="72">
        <v>45777</v>
      </c>
      <c r="U210" s="72">
        <v>45777</v>
      </c>
      <c r="V210" s="72" t="s">
        <v>130</v>
      </c>
      <c r="W210" s="72">
        <v>45777</v>
      </c>
      <c r="X210" s="72" t="s">
        <v>130</v>
      </c>
      <c r="Y210"/>
      <c r="Z210"/>
      <c r="AA210" t="s">
        <v>131</v>
      </c>
      <c r="AB210" t="s">
        <v>131</v>
      </c>
      <c r="AC210" t="s">
        <v>131</v>
      </c>
      <c r="AD210" t="s">
        <v>132</v>
      </c>
      <c r="AE210" t="s">
        <v>132</v>
      </c>
      <c r="AF210" t="s">
        <v>131</v>
      </c>
      <c r="AG210" t="s">
        <v>131</v>
      </c>
      <c r="AH210" t="s">
        <v>131</v>
      </c>
      <c r="AI210" t="s">
        <v>131</v>
      </c>
      <c r="AJ210">
        <v>0</v>
      </c>
      <c r="AK210" t="s">
        <v>131</v>
      </c>
      <c r="AL210" t="s">
        <v>132</v>
      </c>
      <c r="AM210" s="16">
        <f>IF(OR(AC210="Yes",K210="Info Request", K210="Side-Project"),0,(NETWORKDAYS(T210,U210,Holidays!A$2:A$13))-1)</f>
        <v>0</v>
      </c>
      <c r="AN210" s="16">
        <f>IF(OR(AC210="Yes",K210="Info Request", K210="Side-Project"),0,(NETWORKDAYS(U210,W210,Holidays!A$2:A$13))-1)</f>
        <v>0</v>
      </c>
      <c r="AO210" s="16">
        <f>IF(OR(V210="none"),0,((NETWORKDAYS(S210,V210,Holidays!A$2:A$13))-1))</f>
        <v>0</v>
      </c>
      <c r="AP210" s="16" t="b">
        <f t="shared" si="12"/>
        <v>1</v>
      </c>
      <c r="AQ210" s="16" t="b">
        <f t="shared" si="13"/>
        <v>1</v>
      </c>
      <c r="AR210" s="60" t="str">
        <f t="shared" si="14"/>
        <v>OK</v>
      </c>
      <c r="AS210" s="60" t="str">
        <f>IF(table_data[[#This Row],[Flagged-Issues]] = 0, "", table_data[[#This Row],[Flagged-Issues]])</f>
        <v/>
      </c>
    </row>
    <row r="211" spans="1:45" x14ac:dyDescent="0.25">
      <c r="A211" t="s">
        <v>29</v>
      </c>
      <c r="B211" t="s">
        <v>154</v>
      </c>
      <c r="C211" t="s">
        <v>122</v>
      </c>
      <c r="D211" s="65">
        <v>202503181541</v>
      </c>
      <c r="E211" t="s">
        <v>230</v>
      </c>
      <c r="F211" t="s">
        <v>231</v>
      </c>
      <c r="G211"/>
      <c r="H211" t="s">
        <v>430</v>
      </c>
      <c r="I211" t="s">
        <v>203</v>
      </c>
      <c r="J211" t="s">
        <v>157</v>
      </c>
      <c r="K211" t="s">
        <v>128</v>
      </c>
      <c r="L211">
        <v>5</v>
      </c>
      <c r="M211" t="s">
        <v>431</v>
      </c>
      <c r="N211">
        <v>2</v>
      </c>
      <c r="O211">
        <v>10</v>
      </c>
      <c r="P211"/>
      <c r="Q211"/>
      <c r="R211"/>
      <c r="S211" s="72">
        <v>45735</v>
      </c>
      <c r="T211" s="72">
        <v>45755</v>
      </c>
      <c r="U211" s="72">
        <v>45755</v>
      </c>
      <c r="V211" s="72" t="s">
        <v>130</v>
      </c>
      <c r="W211" s="72">
        <v>45756</v>
      </c>
      <c r="X211" s="72">
        <v>45785</v>
      </c>
      <c r="Y211" t="s">
        <v>146</v>
      </c>
      <c r="Z211" t="s">
        <v>147</v>
      </c>
      <c r="AA211" t="s">
        <v>131</v>
      </c>
      <c r="AB211" t="s">
        <v>131</v>
      </c>
      <c r="AC211" t="s">
        <v>131</v>
      </c>
      <c r="AD211" t="s">
        <v>131</v>
      </c>
      <c r="AE211" t="s">
        <v>131</v>
      </c>
      <c r="AF211" t="s">
        <v>131</v>
      </c>
      <c r="AG211" t="s">
        <v>131</v>
      </c>
      <c r="AH211" t="s">
        <v>131</v>
      </c>
      <c r="AI211" t="s">
        <v>132</v>
      </c>
      <c r="AJ211">
        <v>0</v>
      </c>
      <c r="AK211" t="s">
        <v>131</v>
      </c>
      <c r="AL211" t="s">
        <v>148</v>
      </c>
      <c r="AM211" s="16">
        <f>IF(OR(AC211="Yes",K211="Info Request", K211="Side-Project"),0,(NETWORKDAYS(T211,U211,Holidays!A$2:A$13))-1)</f>
        <v>0</v>
      </c>
      <c r="AN211" s="16">
        <f>IF(OR(AC211="Yes",K211="Info Request", K211="Side-Project"),0,(NETWORKDAYS(U211,W211,Holidays!A$2:A$13))-1)</f>
        <v>1</v>
      </c>
      <c r="AO211" s="16">
        <f>IF(OR(V211="none"),0,((NETWORKDAYS(S211,V211,Holidays!A$2:A$13))-1))</f>
        <v>0</v>
      </c>
      <c r="AP211" s="16" t="b">
        <f t="shared" si="12"/>
        <v>1</v>
      </c>
      <c r="AQ211" s="16" t="b">
        <f t="shared" si="13"/>
        <v>1</v>
      </c>
      <c r="AR211" s="60" t="str">
        <f t="shared" si="14"/>
        <v>OK</v>
      </c>
      <c r="AS211" s="60" t="str">
        <f>IF(table_data[[#This Row],[Flagged-Issues]] = 0, "", table_data[[#This Row],[Flagged-Issues]])</f>
        <v/>
      </c>
    </row>
    <row r="212" spans="1:45" x14ac:dyDescent="0.25">
      <c r="A212" t="s">
        <v>29</v>
      </c>
      <c r="B212" t="s">
        <v>154</v>
      </c>
      <c r="C212" t="s">
        <v>122</v>
      </c>
      <c r="D212" s="65">
        <v>202503191059</v>
      </c>
      <c r="E212" t="s">
        <v>330</v>
      </c>
      <c r="F212" t="s">
        <v>173</v>
      </c>
      <c r="G212"/>
      <c r="H212" t="s">
        <v>432</v>
      </c>
      <c r="I212" t="s">
        <v>203</v>
      </c>
      <c r="J212" t="s">
        <v>127</v>
      </c>
      <c r="K212" t="s">
        <v>128</v>
      </c>
      <c r="L212">
        <v>2</v>
      </c>
      <c r="M212" t="s">
        <v>158</v>
      </c>
      <c r="N212">
        <v>2</v>
      </c>
      <c r="O212">
        <v>2</v>
      </c>
      <c r="P212"/>
      <c r="Q212">
        <v>1</v>
      </c>
      <c r="R212"/>
      <c r="S212" s="72">
        <v>45735</v>
      </c>
      <c r="T212" s="72">
        <v>45740</v>
      </c>
      <c r="U212" s="72">
        <v>45740</v>
      </c>
      <c r="V212" s="72" t="s">
        <v>130</v>
      </c>
      <c r="W212" s="72">
        <v>45750</v>
      </c>
      <c r="X212" s="72">
        <v>45742</v>
      </c>
      <c r="Y212" t="s">
        <v>146</v>
      </c>
      <c r="Z212" t="s">
        <v>285</v>
      </c>
      <c r="AA212" t="s">
        <v>131</v>
      </c>
      <c r="AB212" t="s">
        <v>131</v>
      </c>
      <c r="AC212" t="s">
        <v>131</v>
      </c>
      <c r="AD212" t="s">
        <v>131</v>
      </c>
      <c r="AE212" t="s">
        <v>131</v>
      </c>
      <c r="AF212" t="s">
        <v>131</v>
      </c>
      <c r="AG212" t="s">
        <v>131</v>
      </c>
      <c r="AH212" t="s">
        <v>131</v>
      </c>
      <c r="AI212" t="s">
        <v>131</v>
      </c>
      <c r="AJ212">
        <v>0</v>
      </c>
      <c r="AK212" t="s">
        <v>132</v>
      </c>
      <c r="AL212" t="s">
        <v>148</v>
      </c>
      <c r="AM212" s="16">
        <f>IF(OR(AC212="Yes",K212="Info Request", K212="Side-Project"),0,(NETWORKDAYS(T212,U212,Holidays!A$2:A$13))-1)</f>
        <v>0</v>
      </c>
      <c r="AN212" s="16">
        <f>IF(OR(AC212="Yes",K212="Info Request", K212="Side-Project"),0,(NETWORKDAYS(U212,W212,Holidays!A$2:A$13))-1)</f>
        <v>8</v>
      </c>
      <c r="AO212" s="16">
        <f>IF(OR(V212="none"),0,((NETWORKDAYS(S212,V212,Holidays!A$2:A$13))-1))</f>
        <v>0</v>
      </c>
      <c r="AP212" s="16" t="b">
        <f t="shared" si="12"/>
        <v>1</v>
      </c>
      <c r="AQ212" s="16" t="b">
        <f t="shared" si="13"/>
        <v>1</v>
      </c>
      <c r="AR212" s="60" t="str">
        <f t="shared" si="14"/>
        <v>OK</v>
      </c>
      <c r="AS212" s="60" t="str">
        <f>IF(table_data[[#This Row],[Flagged-Issues]] = 0, "", table_data[[#This Row],[Flagged-Issues]])</f>
        <v/>
      </c>
    </row>
    <row r="213" spans="1:45" x14ac:dyDescent="0.25">
      <c r="A213" t="s">
        <v>104</v>
      </c>
      <c r="B213" t="s">
        <v>154</v>
      </c>
      <c r="C213" t="s">
        <v>122</v>
      </c>
      <c r="D213" s="65">
        <v>202504081340</v>
      </c>
      <c r="E213" t="s">
        <v>263</v>
      </c>
      <c r="F213" t="s">
        <v>134</v>
      </c>
      <c r="G213"/>
      <c r="H213" t="s">
        <v>433</v>
      </c>
      <c r="I213" t="s">
        <v>126</v>
      </c>
      <c r="J213" t="s">
        <v>127</v>
      </c>
      <c r="K213" t="s">
        <v>128</v>
      </c>
      <c r="L213">
        <v>2</v>
      </c>
      <c r="M213" t="s">
        <v>143</v>
      </c>
      <c r="N213">
        <v>3</v>
      </c>
      <c r="O213"/>
      <c r="P213"/>
      <c r="Q213"/>
      <c r="R213"/>
      <c r="S213" s="72">
        <v>45755</v>
      </c>
      <c r="T213" s="72">
        <v>45756</v>
      </c>
      <c r="U213" s="72">
        <v>45756</v>
      </c>
      <c r="V213" s="72" t="s">
        <v>130</v>
      </c>
      <c r="W213" s="72">
        <v>45756</v>
      </c>
      <c r="X213" s="72" t="s">
        <v>130</v>
      </c>
      <c r="Y213"/>
      <c r="Z213"/>
      <c r="AA213" t="s">
        <v>131</v>
      </c>
      <c r="AB213" t="s">
        <v>131</v>
      </c>
      <c r="AC213" t="s">
        <v>131</v>
      </c>
      <c r="AD213" t="s">
        <v>131</v>
      </c>
      <c r="AE213" t="s">
        <v>131</v>
      </c>
      <c r="AF213" t="s">
        <v>131</v>
      </c>
      <c r="AG213" t="s">
        <v>131</v>
      </c>
      <c r="AH213" t="s">
        <v>131</v>
      </c>
      <c r="AI213" t="s">
        <v>131</v>
      </c>
      <c r="AJ213">
        <v>0</v>
      </c>
      <c r="AK213" t="s">
        <v>131</v>
      </c>
      <c r="AL213" t="s">
        <v>132</v>
      </c>
      <c r="AM213" s="16">
        <f>IF(OR(AC213="Yes",K213="Info Request", K213="Side-Project"),0,(NETWORKDAYS(T213,U213,Holidays!A$2:A$13))-1)</f>
        <v>0</v>
      </c>
      <c r="AN213" s="16">
        <f>IF(OR(AC213="Yes",K213="Info Request", K213="Side-Project"),0,(NETWORKDAYS(U213,W213,Holidays!A$2:A$13))-1)</f>
        <v>0</v>
      </c>
      <c r="AO213" s="16">
        <f>IF(OR(V213="none"),0,((NETWORKDAYS(S213,V213,Holidays!A$2:A$13))-1))</f>
        <v>0</v>
      </c>
      <c r="AP213" s="16" t="b">
        <f t="shared" si="12"/>
        <v>1</v>
      </c>
      <c r="AQ213" s="16" t="b">
        <f t="shared" si="13"/>
        <v>1</v>
      </c>
      <c r="AR213" s="60" t="str">
        <f t="shared" si="14"/>
        <v>OK</v>
      </c>
      <c r="AS213" s="60" t="str">
        <f>IF(table_data[[#This Row],[Flagged-Issues]] = 0, "", table_data[[#This Row],[Flagged-Issues]])</f>
        <v/>
      </c>
    </row>
    <row r="214" spans="1:45" x14ac:dyDescent="0.25">
      <c r="A214" t="s">
        <v>29</v>
      </c>
      <c r="B214" t="s">
        <v>154</v>
      </c>
      <c r="C214" t="s">
        <v>122</v>
      </c>
      <c r="D214" s="65">
        <v>202504080920</v>
      </c>
      <c r="E214" t="s">
        <v>223</v>
      </c>
      <c r="F214" t="s">
        <v>173</v>
      </c>
      <c r="G214"/>
      <c r="H214" t="s">
        <v>434</v>
      </c>
      <c r="I214" t="s">
        <v>126</v>
      </c>
      <c r="J214" t="s">
        <v>190</v>
      </c>
      <c r="K214" t="s">
        <v>179</v>
      </c>
      <c r="L214">
        <v>1</v>
      </c>
      <c r="M214" t="s">
        <v>421</v>
      </c>
      <c r="N214"/>
      <c r="O214"/>
      <c r="P214"/>
      <c r="Q214"/>
      <c r="R214"/>
      <c r="S214" s="72">
        <v>45755</v>
      </c>
      <c r="T214" s="72">
        <v>45755</v>
      </c>
      <c r="U214" s="72">
        <v>45755</v>
      </c>
      <c r="V214" s="72" t="s">
        <v>130</v>
      </c>
      <c r="W214" s="72">
        <v>45755</v>
      </c>
      <c r="X214" s="72" t="s">
        <v>130</v>
      </c>
      <c r="Y214"/>
      <c r="Z214"/>
      <c r="AA214" t="s">
        <v>131</v>
      </c>
      <c r="AB214" t="s">
        <v>131</v>
      </c>
      <c r="AC214" t="s">
        <v>131</v>
      </c>
      <c r="AD214" t="s">
        <v>131</v>
      </c>
      <c r="AE214" t="s">
        <v>131</v>
      </c>
      <c r="AF214" t="s">
        <v>131</v>
      </c>
      <c r="AG214" t="s">
        <v>131</v>
      </c>
      <c r="AH214" t="s">
        <v>131</v>
      </c>
      <c r="AI214" t="s">
        <v>131</v>
      </c>
      <c r="AJ214">
        <v>0</v>
      </c>
      <c r="AK214" t="s">
        <v>131</v>
      </c>
      <c r="AL214" t="s">
        <v>132</v>
      </c>
      <c r="AM214" s="16">
        <f>IF(OR(AC214="Yes",K214="Info Request", K214="Side-Project"),0,(NETWORKDAYS(T214,U214,Holidays!A$2:A$13))-1)</f>
        <v>0</v>
      </c>
      <c r="AN214" s="16">
        <f>IF(OR(AC214="Yes",K214="Info Request", K214="Side-Project"),0,(NETWORKDAYS(U214,W214,Holidays!A$2:A$13))-1)</f>
        <v>0</v>
      </c>
      <c r="AO214" s="16">
        <f>IF(OR(V214="none"),0,((NETWORKDAYS(S214,V214,Holidays!A$2:A$13))-1))</f>
        <v>0</v>
      </c>
      <c r="AP214" s="16" t="b">
        <f t="shared" si="12"/>
        <v>1</v>
      </c>
      <c r="AQ214" s="16" t="b">
        <f t="shared" si="13"/>
        <v>1</v>
      </c>
      <c r="AR214" s="60" t="str">
        <f t="shared" si="14"/>
        <v>OK</v>
      </c>
      <c r="AS214" s="60" t="str">
        <f>IF(table_data[[#This Row],[Flagged-Issues]] = 0, "", table_data[[#This Row],[Flagged-Issues]])</f>
        <v/>
      </c>
    </row>
    <row r="215" spans="1:45" x14ac:dyDescent="0.25">
      <c r="A215" t="s">
        <v>104</v>
      </c>
      <c r="B215" t="s">
        <v>154</v>
      </c>
      <c r="C215" t="s">
        <v>122</v>
      </c>
      <c r="D215" s="65">
        <v>202503181418</v>
      </c>
      <c r="E215" t="s">
        <v>198</v>
      </c>
      <c r="F215" t="s">
        <v>134</v>
      </c>
      <c r="G215"/>
      <c r="H215" t="s">
        <v>435</v>
      </c>
      <c r="I215" t="s">
        <v>203</v>
      </c>
      <c r="J215" t="s">
        <v>145</v>
      </c>
      <c r="K215" t="s">
        <v>128</v>
      </c>
      <c r="L215">
        <v>10</v>
      </c>
      <c r="M215" t="s">
        <v>189</v>
      </c>
      <c r="N215">
        <v>88</v>
      </c>
      <c r="O215"/>
      <c r="P215"/>
      <c r="Q215"/>
      <c r="R215"/>
      <c r="S215" s="72">
        <v>45734</v>
      </c>
      <c r="T215" s="72">
        <v>45757</v>
      </c>
      <c r="U215" s="72">
        <v>45757</v>
      </c>
      <c r="V215" s="72">
        <v>45758</v>
      </c>
      <c r="W215" s="72">
        <v>45771</v>
      </c>
      <c r="X215" s="72">
        <v>45757</v>
      </c>
      <c r="Y215"/>
      <c r="Z215"/>
      <c r="AA215" t="s">
        <v>131</v>
      </c>
      <c r="AB215" t="s">
        <v>131</v>
      </c>
      <c r="AC215" t="s">
        <v>131</v>
      </c>
      <c r="AD215" t="s">
        <v>131</v>
      </c>
      <c r="AE215" t="s">
        <v>131</v>
      </c>
      <c r="AF215" t="s">
        <v>131</v>
      </c>
      <c r="AG215" t="s">
        <v>131</v>
      </c>
      <c r="AH215" t="s">
        <v>132</v>
      </c>
      <c r="AI215" t="s">
        <v>131</v>
      </c>
      <c r="AJ215">
        <v>0</v>
      </c>
      <c r="AK215" t="s">
        <v>131</v>
      </c>
      <c r="AL215" t="s">
        <v>132</v>
      </c>
      <c r="AM215" s="16">
        <f>IF(OR(AC215="Yes",K215="Info Request", K215="Side-Project"),0,(NETWORKDAYS(T215,U215,Holidays!A$2:A$13))-1)</f>
        <v>0</v>
      </c>
      <c r="AN215" s="16">
        <f>IF(OR(AC215="Yes",K215="Info Request", K215="Side-Project"),0,(NETWORKDAYS(U215,W215,Holidays!A$2:A$13))-1)</f>
        <v>8</v>
      </c>
      <c r="AO215" s="16">
        <f>IF(OR(V215="none"),0,((NETWORKDAYS(S215,V215,Holidays!A$2:A$13))-1))</f>
        <v>18</v>
      </c>
      <c r="AP215" s="16" t="b">
        <f t="shared" si="12"/>
        <v>0</v>
      </c>
      <c r="AQ215" s="16" t="b">
        <f t="shared" si="13"/>
        <v>1</v>
      </c>
      <c r="AR215" s="60" t="str">
        <f t="shared" si="14"/>
        <v>OK</v>
      </c>
      <c r="AS215" s="60" t="str">
        <f>IF(table_data[[#This Row],[Flagged-Issues]] = 0, "", table_data[[#This Row],[Flagged-Issues]])</f>
        <v/>
      </c>
    </row>
    <row r="216" spans="1:45" x14ac:dyDescent="0.25">
      <c r="A216" t="s">
        <v>29</v>
      </c>
      <c r="B216" t="s">
        <v>154</v>
      </c>
      <c r="C216" t="s">
        <v>122</v>
      </c>
      <c r="D216" s="65">
        <v>202504160805</v>
      </c>
      <c r="E216" t="s">
        <v>290</v>
      </c>
      <c r="F216" t="s">
        <v>139</v>
      </c>
      <c r="G216"/>
      <c r="H216" t="s">
        <v>436</v>
      </c>
      <c r="I216" t="s">
        <v>126</v>
      </c>
      <c r="J216" t="s">
        <v>206</v>
      </c>
      <c r="K216" t="s">
        <v>207</v>
      </c>
      <c r="L216">
        <v>2</v>
      </c>
      <c r="M216" t="s">
        <v>137</v>
      </c>
      <c r="N216"/>
      <c r="O216"/>
      <c r="P216"/>
      <c r="Q216">
        <v>2</v>
      </c>
      <c r="R216"/>
      <c r="S216" s="72">
        <v>45763</v>
      </c>
      <c r="T216" s="72">
        <v>45763</v>
      </c>
      <c r="U216" s="72">
        <v>45763</v>
      </c>
      <c r="V216" s="72" t="s">
        <v>130</v>
      </c>
      <c r="W216" s="72">
        <v>45764</v>
      </c>
      <c r="X216" s="72" t="s">
        <v>130</v>
      </c>
      <c r="Y216"/>
      <c r="Z216"/>
      <c r="AA216" t="s">
        <v>131</v>
      </c>
      <c r="AB216" t="s">
        <v>131</v>
      </c>
      <c r="AC216" t="s">
        <v>131</v>
      </c>
      <c r="AD216" t="s">
        <v>131</v>
      </c>
      <c r="AE216" t="s">
        <v>131</v>
      </c>
      <c r="AF216" t="s">
        <v>131</v>
      </c>
      <c r="AG216" t="s">
        <v>131</v>
      </c>
      <c r="AH216" t="s">
        <v>131</v>
      </c>
      <c r="AI216" t="s">
        <v>131</v>
      </c>
      <c r="AJ216">
        <v>0</v>
      </c>
      <c r="AK216" t="s">
        <v>131</v>
      </c>
      <c r="AL216" t="s">
        <v>132</v>
      </c>
      <c r="AM216" s="16">
        <f>IF(OR(AC216="Yes",K216="Info Request", K216="Side-Project"),0,(NETWORKDAYS(T216,U216,Holidays!A$2:A$13))-1)</f>
        <v>0</v>
      </c>
      <c r="AN216" s="16">
        <f>IF(OR(AC216="Yes",K216="Info Request", K216="Side-Project"),0,(NETWORKDAYS(U216,W216,Holidays!A$2:A$13))-1)</f>
        <v>1</v>
      </c>
      <c r="AO216" s="16">
        <f>IF(OR(V216="none"),0,((NETWORKDAYS(S216,V216,Holidays!A$2:A$13))-1))</f>
        <v>0</v>
      </c>
      <c r="AP216" s="16" t="b">
        <f t="shared" si="12"/>
        <v>1</v>
      </c>
      <c r="AQ216" s="16" t="b">
        <f t="shared" si="13"/>
        <v>1</v>
      </c>
      <c r="AR216" s="60" t="str">
        <f t="shared" si="14"/>
        <v>OK</v>
      </c>
      <c r="AS216" s="60" t="str">
        <f>IF(table_data[[#This Row],[Flagged-Issues]] = 0, "", table_data[[#This Row],[Flagged-Issues]])</f>
        <v/>
      </c>
    </row>
    <row r="217" spans="1:45" x14ac:dyDescent="0.25">
      <c r="A217" t="s">
        <v>29</v>
      </c>
      <c r="B217" t="s">
        <v>154</v>
      </c>
      <c r="C217" t="s">
        <v>122</v>
      </c>
      <c r="D217" s="65">
        <v>202504081544</v>
      </c>
      <c r="E217" t="s">
        <v>223</v>
      </c>
      <c r="F217" t="s">
        <v>173</v>
      </c>
      <c r="G217"/>
      <c r="H217" t="s">
        <v>437</v>
      </c>
      <c r="I217" t="s">
        <v>126</v>
      </c>
      <c r="J217" t="s">
        <v>136</v>
      </c>
      <c r="K217" t="s">
        <v>128</v>
      </c>
      <c r="L217">
        <v>2</v>
      </c>
      <c r="M217" t="s">
        <v>143</v>
      </c>
      <c r="N217">
        <v>2</v>
      </c>
      <c r="O217"/>
      <c r="P217"/>
      <c r="Q217">
        <v>2</v>
      </c>
      <c r="R217"/>
      <c r="S217" s="72">
        <v>45755</v>
      </c>
      <c r="T217" s="72">
        <v>45762</v>
      </c>
      <c r="U217" s="72">
        <v>45762</v>
      </c>
      <c r="V217" s="72" t="s">
        <v>130</v>
      </c>
      <c r="W217" s="72">
        <v>45771</v>
      </c>
      <c r="X217" s="72" t="s">
        <v>130</v>
      </c>
      <c r="Y217"/>
      <c r="Z217"/>
      <c r="AA217" t="s">
        <v>131</v>
      </c>
      <c r="AB217" t="s">
        <v>131</v>
      </c>
      <c r="AC217" t="s">
        <v>131</v>
      </c>
      <c r="AD217" t="s">
        <v>131</v>
      </c>
      <c r="AE217" t="s">
        <v>131</v>
      </c>
      <c r="AF217" t="s">
        <v>131</v>
      </c>
      <c r="AG217" t="s">
        <v>131</v>
      </c>
      <c r="AH217" t="s">
        <v>131</v>
      </c>
      <c r="AI217" t="s">
        <v>131</v>
      </c>
      <c r="AJ217">
        <v>0</v>
      </c>
      <c r="AK217" t="s">
        <v>131</v>
      </c>
      <c r="AL217" t="s">
        <v>132</v>
      </c>
      <c r="AM217" s="16">
        <f>IF(OR(AC217="Yes",K217="Info Request", K217="Side-Project"),0,(NETWORKDAYS(T217,U217,Holidays!A$2:A$13))-1)</f>
        <v>0</v>
      </c>
      <c r="AN217" s="16">
        <f>IF(OR(AC217="Yes",K217="Info Request", K217="Side-Project"),0,(NETWORKDAYS(U217,W217,Holidays!A$2:A$13))-1)</f>
        <v>5</v>
      </c>
      <c r="AO217" s="16">
        <f>IF(OR(V217="none"),0,((NETWORKDAYS(S217,V217,Holidays!A$2:A$13))-1))</f>
        <v>0</v>
      </c>
      <c r="AP217" s="16" t="b">
        <f t="shared" si="12"/>
        <v>1</v>
      </c>
      <c r="AQ217" s="16" t="b">
        <f t="shared" si="13"/>
        <v>1</v>
      </c>
      <c r="AR217" s="60" t="str">
        <f t="shared" si="14"/>
        <v>OK</v>
      </c>
      <c r="AS217" s="60" t="str">
        <f>IF(table_data[[#This Row],[Flagged-Issues]] = 0, "", table_data[[#This Row],[Flagged-Issues]])</f>
        <v/>
      </c>
    </row>
    <row r="218" spans="1:45" x14ac:dyDescent="0.25">
      <c r="A218" t="s">
        <v>29</v>
      </c>
      <c r="B218" t="s">
        <v>154</v>
      </c>
      <c r="C218" t="s">
        <v>122</v>
      </c>
      <c r="D218" s="65">
        <v>202404151123</v>
      </c>
      <c r="E218" t="s">
        <v>223</v>
      </c>
      <c r="F218" t="s">
        <v>173</v>
      </c>
      <c r="G218"/>
      <c r="H218" t="s">
        <v>438</v>
      </c>
      <c r="I218" t="s">
        <v>126</v>
      </c>
      <c r="J218" t="s">
        <v>136</v>
      </c>
      <c r="K218" t="s">
        <v>128</v>
      </c>
      <c r="L218">
        <v>2</v>
      </c>
      <c r="M218" t="s">
        <v>382</v>
      </c>
      <c r="N218">
        <v>1</v>
      </c>
      <c r="O218"/>
      <c r="P218"/>
      <c r="Q218"/>
      <c r="R218"/>
      <c r="S218" s="72">
        <v>45762</v>
      </c>
      <c r="T218" s="72">
        <v>45762</v>
      </c>
      <c r="U218" s="72">
        <v>45762</v>
      </c>
      <c r="V218" s="72" t="s">
        <v>130</v>
      </c>
      <c r="W218" s="72">
        <v>45771</v>
      </c>
      <c r="X218" s="72" t="s">
        <v>130</v>
      </c>
      <c r="Y218"/>
      <c r="Z218"/>
      <c r="AA218" t="s">
        <v>131</v>
      </c>
      <c r="AB218" t="s">
        <v>131</v>
      </c>
      <c r="AC218" t="s">
        <v>132</v>
      </c>
      <c r="AD218" t="s">
        <v>131</v>
      </c>
      <c r="AE218" t="s">
        <v>131</v>
      </c>
      <c r="AF218" t="s">
        <v>131</v>
      </c>
      <c r="AG218" t="s">
        <v>131</v>
      </c>
      <c r="AH218" t="s">
        <v>131</v>
      </c>
      <c r="AI218" t="s">
        <v>131</v>
      </c>
      <c r="AJ218">
        <v>0</v>
      </c>
      <c r="AK218" t="s">
        <v>131</v>
      </c>
      <c r="AL218" t="s">
        <v>132</v>
      </c>
      <c r="AM218" s="16">
        <f>IF(OR(AC218="Yes",K218="Info Request", K218="Side-Project"),0,(NETWORKDAYS(T218,U218,Holidays!A$2:A$13))-1)</f>
        <v>0</v>
      </c>
      <c r="AN218" s="16">
        <f>IF(OR(AC218="Yes",K218="Info Request", K218="Side-Project"),0,(NETWORKDAYS(U218,W218,Holidays!A$2:A$13))-1)</f>
        <v>0</v>
      </c>
      <c r="AO218" s="16">
        <f>IF(OR(V218="none"),0,((NETWORKDAYS(S218,V218,Holidays!A$2:A$13))-1))</f>
        <v>0</v>
      </c>
      <c r="AP218" s="16" t="b">
        <f t="shared" si="12"/>
        <v>1</v>
      </c>
      <c r="AQ218" s="16" t="b">
        <f t="shared" si="13"/>
        <v>1</v>
      </c>
      <c r="AR218" s="60" t="str">
        <f t="shared" si="14"/>
        <v>OK</v>
      </c>
      <c r="AS218" s="60" t="str">
        <f>IF(table_data[[#This Row],[Flagged-Issues]] = 0, "", table_data[[#This Row],[Flagged-Issues]])</f>
        <v/>
      </c>
    </row>
    <row r="219" spans="1:45" x14ac:dyDescent="0.25">
      <c r="A219" t="s">
        <v>29</v>
      </c>
      <c r="B219" t="s">
        <v>154</v>
      </c>
      <c r="C219" t="s">
        <v>122</v>
      </c>
      <c r="D219" s="65">
        <v>202504091336</v>
      </c>
      <c r="E219" t="s">
        <v>223</v>
      </c>
      <c r="F219" t="s">
        <v>173</v>
      </c>
      <c r="G219"/>
      <c r="H219" t="s">
        <v>439</v>
      </c>
      <c r="I219" t="s">
        <v>126</v>
      </c>
      <c r="J219" t="s">
        <v>151</v>
      </c>
      <c r="K219" t="s">
        <v>128</v>
      </c>
      <c r="L219">
        <v>2</v>
      </c>
      <c r="M219" t="s">
        <v>158</v>
      </c>
      <c r="N219">
        <v>6</v>
      </c>
      <c r="O219"/>
      <c r="P219"/>
      <c r="Q219"/>
      <c r="R219"/>
      <c r="S219" s="72">
        <v>45756</v>
      </c>
      <c r="T219" s="72">
        <v>45762</v>
      </c>
      <c r="U219" s="72">
        <v>45762</v>
      </c>
      <c r="V219" s="72" t="s">
        <v>130</v>
      </c>
      <c r="W219" s="72">
        <v>45763</v>
      </c>
      <c r="X219" s="72" t="s">
        <v>130</v>
      </c>
      <c r="Y219"/>
      <c r="Z219"/>
      <c r="AA219" t="s">
        <v>131</v>
      </c>
      <c r="AB219" t="s">
        <v>131</v>
      </c>
      <c r="AC219" t="s">
        <v>131</v>
      </c>
      <c r="AD219" t="s">
        <v>131</v>
      </c>
      <c r="AE219" t="s">
        <v>131</v>
      </c>
      <c r="AF219" t="s">
        <v>131</v>
      </c>
      <c r="AG219" t="s">
        <v>131</v>
      </c>
      <c r="AH219" t="s">
        <v>131</v>
      </c>
      <c r="AI219" t="s">
        <v>131</v>
      </c>
      <c r="AJ219">
        <v>0</v>
      </c>
      <c r="AK219" t="s">
        <v>131</v>
      </c>
      <c r="AL219" t="s">
        <v>132</v>
      </c>
      <c r="AM219" s="16">
        <f>IF(OR(AC219="Yes",K219="Info Request", K219="Side-Project"),0,(NETWORKDAYS(T219,U219,Holidays!A$2:A$13))-1)</f>
        <v>0</v>
      </c>
      <c r="AN219" s="16">
        <f>IF(OR(AC219="Yes",K219="Info Request", K219="Side-Project"),0,(NETWORKDAYS(U219,W219,Holidays!A$2:A$13))-1)</f>
        <v>1</v>
      </c>
      <c r="AO219" s="16">
        <f>IF(OR(V219="none"),0,((NETWORKDAYS(S219,V219,Holidays!A$2:A$13))-1))</f>
        <v>0</v>
      </c>
      <c r="AP219" s="16" t="b">
        <f t="shared" si="12"/>
        <v>1</v>
      </c>
      <c r="AQ219" s="16" t="b">
        <f t="shared" si="13"/>
        <v>1</v>
      </c>
      <c r="AR219" s="60" t="str">
        <f t="shared" si="14"/>
        <v>OK</v>
      </c>
      <c r="AS219" s="60" t="str">
        <f>IF(table_data[[#This Row],[Flagged-Issues]] = 0, "", table_data[[#This Row],[Flagged-Issues]])</f>
        <v/>
      </c>
    </row>
    <row r="220" spans="1:45" x14ac:dyDescent="0.25">
      <c r="A220" t="s">
        <v>29</v>
      </c>
      <c r="B220" t="s">
        <v>154</v>
      </c>
      <c r="C220" t="s">
        <v>122</v>
      </c>
      <c r="D220" s="65">
        <v>202504161428</v>
      </c>
      <c r="E220" t="s">
        <v>223</v>
      </c>
      <c r="F220" t="s">
        <v>173</v>
      </c>
      <c r="G220"/>
      <c r="H220" t="s">
        <v>440</v>
      </c>
      <c r="I220" t="s">
        <v>126</v>
      </c>
      <c r="J220" t="s">
        <v>136</v>
      </c>
      <c r="K220" t="s">
        <v>128</v>
      </c>
      <c r="L220">
        <v>2</v>
      </c>
      <c r="M220" t="s">
        <v>143</v>
      </c>
      <c r="N220">
        <v>2</v>
      </c>
      <c r="O220"/>
      <c r="P220"/>
      <c r="Q220"/>
      <c r="R220"/>
      <c r="S220" s="72">
        <v>45763</v>
      </c>
      <c r="T220" s="72">
        <v>45764</v>
      </c>
      <c r="U220" s="72">
        <v>45764</v>
      </c>
      <c r="V220" s="72" t="s">
        <v>130</v>
      </c>
      <c r="W220" s="72">
        <v>45764</v>
      </c>
      <c r="X220" s="72" t="s">
        <v>130</v>
      </c>
      <c r="Y220"/>
      <c r="Z220"/>
      <c r="AA220" t="s">
        <v>131</v>
      </c>
      <c r="AB220" t="s">
        <v>131</v>
      </c>
      <c r="AC220" t="s">
        <v>131</v>
      </c>
      <c r="AD220" t="s">
        <v>131</v>
      </c>
      <c r="AE220" t="s">
        <v>131</v>
      </c>
      <c r="AF220" t="s">
        <v>131</v>
      </c>
      <c r="AG220" t="s">
        <v>131</v>
      </c>
      <c r="AH220" t="s">
        <v>131</v>
      </c>
      <c r="AI220" t="s">
        <v>131</v>
      </c>
      <c r="AJ220">
        <v>0</v>
      </c>
      <c r="AK220" t="s">
        <v>131</v>
      </c>
      <c r="AL220" t="s">
        <v>132</v>
      </c>
      <c r="AM220" s="16">
        <f>IF(OR(AC220="Yes",K220="Info Request", K220="Side-Project"),0,(NETWORKDAYS(T220,U220,Holidays!A$2:A$13))-1)</f>
        <v>0</v>
      </c>
      <c r="AN220" s="16">
        <f>IF(OR(AC220="Yes",K220="Info Request", K220="Side-Project"),0,(NETWORKDAYS(U220,W220,Holidays!A$2:A$13))-1)</f>
        <v>0</v>
      </c>
      <c r="AO220" s="16">
        <f>IF(OR(V220="none"),0,((NETWORKDAYS(S220,V220,Holidays!A$2:A$13))-1))</f>
        <v>0</v>
      </c>
      <c r="AP220" s="16" t="b">
        <f t="shared" si="12"/>
        <v>1</v>
      </c>
      <c r="AQ220" s="16" t="b">
        <f t="shared" si="13"/>
        <v>1</v>
      </c>
      <c r="AR220" s="60" t="str">
        <f t="shared" si="14"/>
        <v>OK</v>
      </c>
      <c r="AS220" s="60" t="str">
        <f>IF(table_data[[#This Row],[Flagged-Issues]] = 0, "", table_data[[#This Row],[Flagged-Issues]])</f>
        <v/>
      </c>
    </row>
    <row r="221" spans="1:45" x14ac:dyDescent="0.25">
      <c r="A221" t="s">
        <v>29</v>
      </c>
      <c r="B221" t="s">
        <v>154</v>
      </c>
      <c r="C221" t="s">
        <v>122</v>
      </c>
      <c r="D221" s="65">
        <v>202504151127</v>
      </c>
      <c r="E221" t="s">
        <v>223</v>
      </c>
      <c r="F221" t="s">
        <v>173</v>
      </c>
      <c r="G221"/>
      <c r="H221" t="s">
        <v>441</v>
      </c>
      <c r="I221" t="s">
        <v>126</v>
      </c>
      <c r="J221" t="s">
        <v>136</v>
      </c>
      <c r="K221" t="s">
        <v>179</v>
      </c>
      <c r="L221">
        <v>2</v>
      </c>
      <c r="M221" t="s">
        <v>187</v>
      </c>
      <c r="N221"/>
      <c r="O221"/>
      <c r="P221"/>
      <c r="Q221"/>
      <c r="R221"/>
      <c r="S221" s="72">
        <v>45762</v>
      </c>
      <c r="T221" s="72">
        <v>45770</v>
      </c>
      <c r="U221" s="72">
        <v>45770</v>
      </c>
      <c r="V221" s="72" t="s">
        <v>130</v>
      </c>
      <c r="W221" s="72">
        <v>45771</v>
      </c>
      <c r="X221" s="72" t="s">
        <v>130</v>
      </c>
      <c r="Y221"/>
      <c r="Z221"/>
      <c r="AA221" t="s">
        <v>131</v>
      </c>
      <c r="AB221" t="s">
        <v>131</v>
      </c>
      <c r="AC221" t="s">
        <v>131</v>
      </c>
      <c r="AD221" t="s">
        <v>131</v>
      </c>
      <c r="AE221" t="s">
        <v>131</v>
      </c>
      <c r="AF221" t="s">
        <v>131</v>
      </c>
      <c r="AG221" t="s">
        <v>131</v>
      </c>
      <c r="AH221" t="s">
        <v>131</v>
      </c>
      <c r="AI221" t="s">
        <v>131</v>
      </c>
      <c r="AJ221">
        <v>0</v>
      </c>
      <c r="AK221" t="s">
        <v>131</v>
      </c>
      <c r="AL221" t="s">
        <v>132</v>
      </c>
      <c r="AM221" s="16">
        <f>IF(OR(AC221="Yes",K221="Info Request", K221="Side-Project"),0,(NETWORKDAYS(T221,U221,Holidays!A$2:A$13))-1)</f>
        <v>0</v>
      </c>
      <c r="AN221" s="16">
        <f>IF(OR(AC221="Yes",K221="Info Request", K221="Side-Project"),0,(NETWORKDAYS(U221,W221,Holidays!A$2:A$13))-1)</f>
        <v>0</v>
      </c>
      <c r="AO221" s="16">
        <f>IF(OR(V221="none"),0,((NETWORKDAYS(S221,V221,Holidays!A$2:A$13))-1))</f>
        <v>0</v>
      </c>
      <c r="AP221" s="16" t="b">
        <f t="shared" si="12"/>
        <v>1</v>
      </c>
      <c r="AQ221" s="16" t="b">
        <f t="shared" si="13"/>
        <v>1</v>
      </c>
      <c r="AR221" s="60" t="str">
        <f t="shared" si="14"/>
        <v>OK</v>
      </c>
      <c r="AS221" s="60" t="str">
        <f>IF(table_data[[#This Row],[Flagged-Issues]] = 0, "", table_data[[#This Row],[Flagged-Issues]])</f>
        <v/>
      </c>
    </row>
    <row r="222" spans="1:45" x14ac:dyDescent="0.25">
      <c r="A222" t="s">
        <v>29</v>
      </c>
      <c r="B222" t="s">
        <v>154</v>
      </c>
      <c r="C222" t="s">
        <v>122</v>
      </c>
      <c r="D222" s="65">
        <v>202504031312</v>
      </c>
      <c r="E222" t="s">
        <v>290</v>
      </c>
      <c r="F222" t="s">
        <v>139</v>
      </c>
      <c r="G222"/>
      <c r="H222" t="s">
        <v>442</v>
      </c>
      <c r="I222" t="s">
        <v>126</v>
      </c>
      <c r="J222" t="s">
        <v>206</v>
      </c>
      <c r="K222" t="s">
        <v>207</v>
      </c>
      <c r="L222">
        <v>2</v>
      </c>
      <c r="M222" t="s">
        <v>137</v>
      </c>
      <c r="N222"/>
      <c r="O222"/>
      <c r="P222"/>
      <c r="Q222">
        <v>2</v>
      </c>
      <c r="R222"/>
      <c r="S222" s="72">
        <v>45750</v>
      </c>
      <c r="T222" s="72">
        <v>45751</v>
      </c>
      <c r="U222" s="72">
        <v>45751</v>
      </c>
      <c r="V222" s="72" t="s">
        <v>130</v>
      </c>
      <c r="W222" s="72">
        <v>45751</v>
      </c>
      <c r="X222" s="72" t="s">
        <v>130</v>
      </c>
      <c r="Y222"/>
      <c r="Z222"/>
      <c r="AA222" t="s">
        <v>131</v>
      </c>
      <c r="AB222" t="s">
        <v>131</v>
      </c>
      <c r="AC222" t="s">
        <v>131</v>
      </c>
      <c r="AD222" t="s">
        <v>131</v>
      </c>
      <c r="AE222" t="s">
        <v>131</v>
      </c>
      <c r="AF222" t="s">
        <v>131</v>
      </c>
      <c r="AG222" t="s">
        <v>131</v>
      </c>
      <c r="AH222" t="s">
        <v>131</v>
      </c>
      <c r="AI222" t="s">
        <v>131</v>
      </c>
      <c r="AJ222">
        <v>0</v>
      </c>
      <c r="AK222" t="s">
        <v>131</v>
      </c>
      <c r="AL222" t="s">
        <v>132</v>
      </c>
      <c r="AM222" s="16">
        <f>IF(OR(AC222="Yes",K222="Info Request", K222="Side-Project"),0,(NETWORKDAYS(T222,U222,Holidays!A$2:A$13))-1)</f>
        <v>0</v>
      </c>
      <c r="AN222" s="16">
        <f>IF(OR(AC222="Yes",K222="Info Request", K222="Side-Project"),0,(NETWORKDAYS(U222,W222,Holidays!A$2:A$13))-1)</f>
        <v>0</v>
      </c>
      <c r="AO222" s="16">
        <f>IF(OR(V222="none"),0,((NETWORKDAYS(S222,V222,Holidays!A$2:A$13))-1))</f>
        <v>0</v>
      </c>
      <c r="AP222" s="16" t="b">
        <f t="shared" si="12"/>
        <v>1</v>
      </c>
      <c r="AQ222" s="16" t="b">
        <f t="shared" si="13"/>
        <v>1</v>
      </c>
      <c r="AR222" s="60" t="str">
        <f t="shared" si="14"/>
        <v>OK</v>
      </c>
      <c r="AS222" s="60" t="str">
        <f>IF(table_data[[#This Row],[Flagged-Issues]] = 0, "", table_data[[#This Row],[Flagged-Issues]])</f>
        <v/>
      </c>
    </row>
    <row r="223" spans="1:45" x14ac:dyDescent="0.25">
      <c r="A223" t="s">
        <v>104</v>
      </c>
      <c r="B223" t="s">
        <v>154</v>
      </c>
      <c r="C223" t="s">
        <v>122</v>
      </c>
      <c r="D223" s="65">
        <v>202503280919</v>
      </c>
      <c r="E223" t="s">
        <v>263</v>
      </c>
      <c r="F223" t="s">
        <v>134</v>
      </c>
      <c r="G223"/>
      <c r="H223" t="s">
        <v>443</v>
      </c>
      <c r="I223" t="s">
        <v>126</v>
      </c>
      <c r="J223" t="s">
        <v>206</v>
      </c>
      <c r="K223" t="s">
        <v>207</v>
      </c>
      <c r="L223">
        <v>2</v>
      </c>
      <c r="M223" t="s">
        <v>143</v>
      </c>
      <c r="N223"/>
      <c r="O223"/>
      <c r="P223"/>
      <c r="Q223">
        <v>16</v>
      </c>
      <c r="R223"/>
      <c r="S223" s="72">
        <v>45744</v>
      </c>
      <c r="T223" s="72">
        <v>45750</v>
      </c>
      <c r="U223" s="72">
        <v>45750</v>
      </c>
      <c r="V223" s="72" t="s">
        <v>130</v>
      </c>
      <c r="W223" s="72">
        <v>45750</v>
      </c>
      <c r="X223" s="72" t="s">
        <v>130</v>
      </c>
      <c r="Y223"/>
      <c r="Z223"/>
      <c r="AA223" t="s">
        <v>131</v>
      </c>
      <c r="AB223" t="s">
        <v>131</v>
      </c>
      <c r="AC223" t="s">
        <v>131</v>
      </c>
      <c r="AD223" t="s">
        <v>131</v>
      </c>
      <c r="AE223" t="s">
        <v>131</v>
      </c>
      <c r="AF223" t="s">
        <v>131</v>
      </c>
      <c r="AG223" t="s">
        <v>131</v>
      </c>
      <c r="AH223" t="s">
        <v>131</v>
      </c>
      <c r="AI223" t="s">
        <v>131</v>
      </c>
      <c r="AJ223">
        <v>0</v>
      </c>
      <c r="AK223" t="s">
        <v>131</v>
      </c>
      <c r="AL223" t="s">
        <v>132</v>
      </c>
      <c r="AM223" s="16">
        <f>IF(OR(AC223="Yes",K223="Info Request", K223="Side-Project"),0,(NETWORKDAYS(T223,U223,Holidays!A$2:A$13))-1)</f>
        <v>0</v>
      </c>
      <c r="AN223" s="16">
        <f>IF(OR(AC223="Yes",K223="Info Request", K223="Side-Project"),0,(NETWORKDAYS(U223,W223,Holidays!A$2:A$13))-1)</f>
        <v>0</v>
      </c>
      <c r="AO223" s="16">
        <f>IF(OR(V223="none"),0,((NETWORKDAYS(S223,V223,Holidays!A$2:A$13))-1))</f>
        <v>0</v>
      </c>
      <c r="AP223" s="16" t="b">
        <f t="shared" si="12"/>
        <v>1</v>
      </c>
      <c r="AQ223" s="16" t="b">
        <f t="shared" si="13"/>
        <v>1</v>
      </c>
      <c r="AR223" s="60" t="str">
        <f t="shared" si="14"/>
        <v>OK</v>
      </c>
      <c r="AS223" s="60" t="str">
        <f>IF(table_data[[#This Row],[Flagged-Issues]] = 0, "", table_data[[#This Row],[Flagged-Issues]])</f>
        <v/>
      </c>
    </row>
    <row r="224" spans="1:45" x14ac:dyDescent="0.25">
      <c r="A224" t="s">
        <v>29</v>
      </c>
      <c r="B224" t="s">
        <v>154</v>
      </c>
      <c r="C224" t="s">
        <v>122</v>
      </c>
      <c r="D224" s="65">
        <v>202504011340</v>
      </c>
      <c r="E224" t="s">
        <v>444</v>
      </c>
      <c r="F224" t="s">
        <v>173</v>
      </c>
      <c r="G224"/>
      <c r="H224" t="s">
        <v>445</v>
      </c>
      <c r="I224" t="s">
        <v>126</v>
      </c>
      <c r="J224" t="s">
        <v>136</v>
      </c>
      <c r="K224" t="s">
        <v>128</v>
      </c>
      <c r="L224">
        <v>2</v>
      </c>
      <c r="M224" t="s">
        <v>129</v>
      </c>
      <c r="N224">
        <v>6</v>
      </c>
      <c r="O224"/>
      <c r="P224"/>
      <c r="Q224"/>
      <c r="R224"/>
      <c r="S224" s="72">
        <v>45748</v>
      </c>
      <c r="T224" s="72">
        <v>45750</v>
      </c>
      <c r="U224" s="72">
        <v>45750</v>
      </c>
      <c r="V224" s="72" t="s">
        <v>130</v>
      </c>
      <c r="W224" s="72">
        <v>45755</v>
      </c>
      <c r="X224" s="72" t="s">
        <v>130</v>
      </c>
      <c r="Y224"/>
      <c r="Z224"/>
      <c r="AA224" t="s">
        <v>131</v>
      </c>
      <c r="AB224" t="s">
        <v>131</v>
      </c>
      <c r="AC224" t="s">
        <v>131</v>
      </c>
      <c r="AD224" t="s">
        <v>131</v>
      </c>
      <c r="AE224" t="s">
        <v>131</v>
      </c>
      <c r="AF224" t="s">
        <v>131</v>
      </c>
      <c r="AG224" t="s">
        <v>131</v>
      </c>
      <c r="AH224" t="s">
        <v>131</v>
      </c>
      <c r="AI224" t="s">
        <v>131</v>
      </c>
      <c r="AJ224">
        <v>0</v>
      </c>
      <c r="AK224" t="s">
        <v>131</v>
      </c>
      <c r="AL224" t="s">
        <v>132</v>
      </c>
      <c r="AM224" s="16">
        <f>IF(OR(AC224="Yes",K224="Info Request", K224="Side-Project"),0,(NETWORKDAYS(T224,U224,Holidays!A$2:A$13))-1)</f>
        <v>0</v>
      </c>
      <c r="AN224" s="16">
        <f>IF(OR(AC224="Yes",K224="Info Request", K224="Side-Project"),0,(NETWORKDAYS(U224,W224,Holidays!A$2:A$13))-1)</f>
        <v>3</v>
      </c>
      <c r="AO224" s="16">
        <f>IF(OR(V224="none"),0,((NETWORKDAYS(S224,V224,Holidays!A$2:A$13))-1))</f>
        <v>0</v>
      </c>
      <c r="AP224" s="16" t="b">
        <f t="shared" si="12"/>
        <v>1</v>
      </c>
      <c r="AQ224" s="16" t="b">
        <f t="shared" si="13"/>
        <v>1</v>
      </c>
      <c r="AR224" s="60" t="str">
        <f t="shared" si="14"/>
        <v>OK</v>
      </c>
      <c r="AS224" s="60" t="str">
        <f>IF(table_data[[#This Row],[Flagged-Issues]] = 0, "", table_data[[#This Row],[Flagged-Issues]])</f>
        <v/>
      </c>
    </row>
    <row r="225" spans="1:45" x14ac:dyDescent="0.25">
      <c r="A225" t="s">
        <v>104</v>
      </c>
      <c r="B225" t="s">
        <v>154</v>
      </c>
      <c r="C225" t="s">
        <v>122</v>
      </c>
      <c r="D225" s="65">
        <v>202504091444</v>
      </c>
      <c r="E225" t="s">
        <v>314</v>
      </c>
      <c r="F225" t="s">
        <v>134</v>
      </c>
      <c r="G225"/>
      <c r="H225" t="s">
        <v>446</v>
      </c>
      <c r="I225" t="s">
        <v>126</v>
      </c>
      <c r="J225" t="s">
        <v>151</v>
      </c>
      <c r="K225" t="s">
        <v>128</v>
      </c>
      <c r="L225">
        <v>2</v>
      </c>
      <c r="M225" t="s">
        <v>162</v>
      </c>
      <c r="N225">
        <v>2</v>
      </c>
      <c r="O225"/>
      <c r="P225"/>
      <c r="Q225">
        <v>1</v>
      </c>
      <c r="R225"/>
      <c r="S225" s="72">
        <v>45756</v>
      </c>
      <c r="T225" s="72">
        <v>45756</v>
      </c>
      <c r="U225" s="72">
        <v>45756</v>
      </c>
      <c r="V225" s="72" t="s">
        <v>130</v>
      </c>
      <c r="W225" s="72">
        <v>45757</v>
      </c>
      <c r="X225" s="72" t="s">
        <v>130</v>
      </c>
      <c r="Y225"/>
      <c r="Z225"/>
      <c r="AA225" t="s">
        <v>131</v>
      </c>
      <c r="AB225" t="s">
        <v>131</v>
      </c>
      <c r="AC225" t="s">
        <v>131</v>
      </c>
      <c r="AD225" t="s">
        <v>131</v>
      </c>
      <c r="AE225" t="s">
        <v>131</v>
      </c>
      <c r="AF225" t="s">
        <v>131</v>
      </c>
      <c r="AG225" t="s">
        <v>131</v>
      </c>
      <c r="AH225" t="s">
        <v>131</v>
      </c>
      <c r="AI225" t="s">
        <v>131</v>
      </c>
      <c r="AJ225">
        <v>0</v>
      </c>
      <c r="AK225" t="s">
        <v>131</v>
      </c>
      <c r="AL225" t="s">
        <v>132</v>
      </c>
      <c r="AM225" s="16">
        <f>IF(OR(AC225="Yes",K225="Info Request", K225="Side-Project"),0,(NETWORKDAYS(T225,U225,Holidays!A$2:A$13))-1)</f>
        <v>0</v>
      </c>
      <c r="AN225" s="16">
        <f>IF(OR(AC225="Yes",K225="Info Request", K225="Side-Project"),0,(NETWORKDAYS(U225,W225,Holidays!A$2:A$13))-1)</f>
        <v>1</v>
      </c>
      <c r="AO225" s="16">
        <f>IF(OR(V225="none"),0,((NETWORKDAYS(S225,V225,Holidays!A$2:A$13))-1))</f>
        <v>0</v>
      </c>
      <c r="AP225" s="16" t="b">
        <f t="shared" si="12"/>
        <v>1</v>
      </c>
      <c r="AQ225" s="16" t="b">
        <f t="shared" si="13"/>
        <v>1</v>
      </c>
      <c r="AR225" s="60" t="str">
        <f t="shared" si="14"/>
        <v>OK</v>
      </c>
      <c r="AS225" s="60" t="str">
        <f>IF(table_data[[#This Row],[Flagged-Issues]] = 0, "", table_data[[#This Row],[Flagged-Issues]])</f>
        <v/>
      </c>
    </row>
    <row r="226" spans="1:45" x14ac:dyDescent="0.25">
      <c r="A226" t="s">
        <v>104</v>
      </c>
      <c r="B226" t="s">
        <v>447</v>
      </c>
      <c r="C226" t="s">
        <v>122</v>
      </c>
      <c r="D226" s="65">
        <v>202504010901</v>
      </c>
      <c r="E226" t="s">
        <v>448</v>
      </c>
      <c r="F226" t="s">
        <v>134</v>
      </c>
      <c r="G226"/>
      <c r="H226" t="s">
        <v>449</v>
      </c>
      <c r="I226" t="s">
        <v>126</v>
      </c>
      <c r="J226" t="s">
        <v>136</v>
      </c>
      <c r="K226" t="s">
        <v>128</v>
      </c>
      <c r="L226">
        <v>2</v>
      </c>
      <c r="M226" t="s">
        <v>228</v>
      </c>
      <c r="N226">
        <v>2</v>
      </c>
      <c r="O226"/>
      <c r="P226"/>
      <c r="Q226"/>
      <c r="R226"/>
      <c r="S226" s="72">
        <v>45748</v>
      </c>
      <c r="T226" s="72">
        <v>45751</v>
      </c>
      <c r="U226" s="72">
        <v>45751</v>
      </c>
      <c r="V226" s="72" t="s">
        <v>130</v>
      </c>
      <c r="W226" s="72">
        <v>45751</v>
      </c>
      <c r="X226" s="72" t="s">
        <v>130</v>
      </c>
      <c r="Y226"/>
      <c r="Z226"/>
      <c r="AA226" t="s">
        <v>131</v>
      </c>
      <c r="AB226" t="s">
        <v>131</v>
      </c>
      <c r="AC226" t="s">
        <v>131</v>
      </c>
      <c r="AD226" t="s">
        <v>131</v>
      </c>
      <c r="AE226" t="s">
        <v>131</v>
      </c>
      <c r="AF226" t="s">
        <v>131</v>
      </c>
      <c r="AG226" t="s">
        <v>131</v>
      </c>
      <c r="AH226" t="s">
        <v>131</v>
      </c>
      <c r="AI226" t="s">
        <v>131</v>
      </c>
      <c r="AJ226">
        <v>0</v>
      </c>
      <c r="AK226" t="s">
        <v>131</v>
      </c>
      <c r="AL226" t="s">
        <v>132</v>
      </c>
      <c r="AM226" s="16">
        <f>IF(OR(AC226="Yes",K226="Info Request", K226="Side-Project"),0,(NETWORKDAYS(T226,U226,Holidays!A$2:A$13))-1)</f>
        <v>0</v>
      </c>
      <c r="AN226" s="16">
        <f>IF(OR(AC226="Yes",K226="Info Request", K226="Side-Project"),0,(NETWORKDAYS(U226,W226,Holidays!A$2:A$13))-1)</f>
        <v>0</v>
      </c>
      <c r="AO226" s="16">
        <f>IF(OR(V226="none"),0,((NETWORKDAYS(S226,V226,Holidays!A$2:A$13))-1))</f>
        <v>0</v>
      </c>
      <c r="AP226" s="16" t="b">
        <f t="shared" si="12"/>
        <v>1</v>
      </c>
      <c r="AQ226" s="16" t="b">
        <f t="shared" si="13"/>
        <v>1</v>
      </c>
      <c r="AR226" s="60" t="str">
        <f t="shared" si="14"/>
        <v>OK</v>
      </c>
      <c r="AS226" s="60" t="str">
        <f>IF(table_data[[#This Row],[Flagged-Issues]] = 0, "", table_data[[#This Row],[Flagged-Issues]])</f>
        <v/>
      </c>
    </row>
    <row r="227" spans="1:45" x14ac:dyDescent="0.25">
      <c r="A227" t="s">
        <v>104</v>
      </c>
      <c r="B227" t="s">
        <v>154</v>
      </c>
      <c r="C227" t="s">
        <v>122</v>
      </c>
      <c r="D227" s="65">
        <v>202502271333</v>
      </c>
      <c r="E227" t="s">
        <v>450</v>
      </c>
      <c r="F227" t="s">
        <v>191</v>
      </c>
      <c r="G227"/>
      <c r="H227" t="s">
        <v>451</v>
      </c>
      <c r="I227" t="s">
        <v>126</v>
      </c>
      <c r="J227" t="s">
        <v>136</v>
      </c>
      <c r="K227" t="s">
        <v>128</v>
      </c>
      <c r="L227">
        <v>2</v>
      </c>
      <c r="M227" t="s">
        <v>137</v>
      </c>
      <c r="N227">
        <v>8</v>
      </c>
      <c r="O227"/>
      <c r="P227"/>
      <c r="Q227"/>
      <c r="R227"/>
      <c r="S227" s="72">
        <v>45715</v>
      </c>
      <c r="T227" s="72">
        <v>45723</v>
      </c>
      <c r="U227" s="72">
        <v>45723</v>
      </c>
      <c r="V227" s="72" t="s">
        <v>130</v>
      </c>
      <c r="W227" s="72">
        <v>45761</v>
      </c>
      <c r="X227" s="72" t="s">
        <v>130</v>
      </c>
      <c r="Y227"/>
      <c r="Z227"/>
      <c r="AA227" t="s">
        <v>131</v>
      </c>
      <c r="AB227" t="s">
        <v>131</v>
      </c>
      <c r="AC227" t="s">
        <v>131</v>
      </c>
      <c r="AD227" t="s">
        <v>131</v>
      </c>
      <c r="AE227" t="s">
        <v>131</v>
      </c>
      <c r="AF227" t="s">
        <v>131</v>
      </c>
      <c r="AG227" t="s">
        <v>131</v>
      </c>
      <c r="AH227" t="s">
        <v>131</v>
      </c>
      <c r="AI227" t="s">
        <v>131</v>
      </c>
      <c r="AJ227">
        <v>0</v>
      </c>
      <c r="AK227" t="s">
        <v>131</v>
      </c>
      <c r="AL227" t="s">
        <v>132</v>
      </c>
      <c r="AM227" s="16">
        <f>IF(OR(AC227="Yes",K227="Info Request", K227="Side-Project"),0,(NETWORKDAYS(T227,U227,Holidays!A$2:A$13))-1)</f>
        <v>0</v>
      </c>
      <c r="AN227" s="16">
        <f>IF(OR(AC227="Yes",K227="Info Request", K227="Side-Project"),0,(NETWORKDAYS(U227,W227,Holidays!A$2:A$13))-1)</f>
        <v>26</v>
      </c>
      <c r="AO227" s="16">
        <f>IF(OR(V227="none"),0,((NETWORKDAYS(S227,V227,Holidays!A$2:A$13))-1))</f>
        <v>0</v>
      </c>
      <c r="AP227" s="16" t="b">
        <f t="shared" si="12"/>
        <v>1</v>
      </c>
      <c r="AQ227" s="16" t="b">
        <f t="shared" si="13"/>
        <v>1</v>
      </c>
      <c r="AR227" s="60" t="str">
        <f t="shared" si="14"/>
        <v>OK</v>
      </c>
      <c r="AS227" s="60" t="str">
        <f>IF(table_data[[#This Row],[Flagged-Issues]] = 0, "", table_data[[#This Row],[Flagged-Issues]])</f>
        <v/>
      </c>
    </row>
    <row r="228" spans="1:45" x14ac:dyDescent="0.25">
      <c r="A228" t="s">
        <v>29</v>
      </c>
      <c r="B228" t="s">
        <v>154</v>
      </c>
      <c r="C228" t="s">
        <v>122</v>
      </c>
      <c r="D228" s="65">
        <v>202503041328</v>
      </c>
      <c r="E228" t="s">
        <v>223</v>
      </c>
      <c r="F228" t="s">
        <v>173</v>
      </c>
      <c r="G228"/>
      <c r="H228" t="s">
        <v>452</v>
      </c>
      <c r="I228" t="s">
        <v>126</v>
      </c>
      <c r="J228" t="s">
        <v>206</v>
      </c>
      <c r="K228" t="s">
        <v>128</v>
      </c>
      <c r="L228">
        <v>2</v>
      </c>
      <c r="M228" t="s">
        <v>129</v>
      </c>
      <c r="N228"/>
      <c r="O228"/>
      <c r="P228"/>
      <c r="Q228"/>
      <c r="R228"/>
      <c r="S228" s="72">
        <v>45720</v>
      </c>
      <c r="T228" s="72">
        <v>45729</v>
      </c>
      <c r="U228" s="72">
        <v>45729</v>
      </c>
      <c r="V228" s="72" t="s">
        <v>130</v>
      </c>
      <c r="W228" s="72">
        <v>45750</v>
      </c>
      <c r="X228" s="72" t="s">
        <v>130</v>
      </c>
      <c r="Y228"/>
      <c r="Z228"/>
      <c r="AA228" t="s">
        <v>131</v>
      </c>
      <c r="AB228" t="s">
        <v>131</v>
      </c>
      <c r="AC228" t="s">
        <v>132</v>
      </c>
      <c r="AD228" t="s">
        <v>131</v>
      </c>
      <c r="AE228" t="s">
        <v>132</v>
      </c>
      <c r="AF228" t="s">
        <v>131</v>
      </c>
      <c r="AG228" t="s">
        <v>131</v>
      </c>
      <c r="AH228" t="s">
        <v>131</v>
      </c>
      <c r="AI228" t="s">
        <v>131</v>
      </c>
      <c r="AJ228">
        <v>0</v>
      </c>
      <c r="AK228" t="s">
        <v>131</v>
      </c>
      <c r="AL228" t="s">
        <v>132</v>
      </c>
      <c r="AM228" s="16">
        <f>IF(OR(AC228="Yes",K228="Info Request", K228="Side-Project"),0,(NETWORKDAYS(T228,U228,Holidays!A$2:A$13))-1)</f>
        <v>0</v>
      </c>
      <c r="AN228" s="16">
        <f>IF(OR(AC228="Yes",K228="Info Request", K228="Side-Project"),0,(NETWORKDAYS(U228,W228,Holidays!A$2:A$13))-1)</f>
        <v>0</v>
      </c>
      <c r="AO228" s="16">
        <f>IF(OR(V228="none"),0,((NETWORKDAYS(S228,V228,Holidays!A$2:A$13))-1))</f>
        <v>0</v>
      </c>
      <c r="AP228" s="16" t="b">
        <f t="shared" si="12"/>
        <v>1</v>
      </c>
      <c r="AQ228" s="16" t="b">
        <f t="shared" si="13"/>
        <v>1</v>
      </c>
      <c r="AR228" s="60" t="str">
        <f t="shared" si="14"/>
        <v>OK</v>
      </c>
      <c r="AS228" s="60" t="str">
        <f>IF(table_data[[#This Row],[Flagged-Issues]] = 0, "", table_data[[#This Row],[Flagged-Issues]])</f>
        <v/>
      </c>
    </row>
    <row r="229" spans="1:45" x14ac:dyDescent="0.25">
      <c r="A229" t="s">
        <v>104</v>
      </c>
      <c r="B229" t="s">
        <v>154</v>
      </c>
      <c r="C229" t="s">
        <v>122</v>
      </c>
      <c r="D229" s="65">
        <v>202503181339</v>
      </c>
      <c r="E229" t="s">
        <v>263</v>
      </c>
      <c r="F229" t="s">
        <v>134</v>
      </c>
      <c r="G229"/>
      <c r="H229" t="s">
        <v>453</v>
      </c>
      <c r="I229" t="s">
        <v>203</v>
      </c>
      <c r="J229" t="s">
        <v>206</v>
      </c>
      <c r="K229" t="s">
        <v>128</v>
      </c>
      <c r="L229">
        <v>2</v>
      </c>
      <c r="M229" t="s">
        <v>162</v>
      </c>
      <c r="N229">
        <v>2</v>
      </c>
      <c r="O229"/>
      <c r="P229"/>
      <c r="Q229"/>
      <c r="R229"/>
      <c r="S229" s="72">
        <v>45734</v>
      </c>
      <c r="T229" s="72">
        <v>45743</v>
      </c>
      <c r="U229" s="72">
        <v>45743</v>
      </c>
      <c r="V229" s="72">
        <v>45737</v>
      </c>
      <c r="W229" s="72">
        <v>45749</v>
      </c>
      <c r="X229" s="72">
        <v>45737</v>
      </c>
      <c r="Y229"/>
      <c r="Z229"/>
      <c r="AA229" t="s">
        <v>131</v>
      </c>
      <c r="AB229" t="s">
        <v>131</v>
      </c>
      <c r="AC229" t="s">
        <v>131</v>
      </c>
      <c r="AD229" t="s">
        <v>131</v>
      </c>
      <c r="AE229" t="s">
        <v>131</v>
      </c>
      <c r="AF229" t="s">
        <v>131</v>
      </c>
      <c r="AG229" t="s">
        <v>131</v>
      </c>
      <c r="AH229" t="s">
        <v>131</v>
      </c>
      <c r="AI229" t="s">
        <v>132</v>
      </c>
      <c r="AJ229">
        <v>0</v>
      </c>
      <c r="AK229" t="s">
        <v>131</v>
      </c>
      <c r="AL229" t="s">
        <v>132</v>
      </c>
      <c r="AM229" s="16">
        <f>IF(OR(AC229="Yes",K229="Info Request", K229="Side-Project"),0,(NETWORKDAYS(T229,U229,Holidays!A$2:A$13))-1)</f>
        <v>0</v>
      </c>
      <c r="AN229" s="16">
        <f>IF(OR(AC229="Yes",K229="Info Request", K229="Side-Project"),0,(NETWORKDAYS(U229,W229,Holidays!A$2:A$13))-1)</f>
        <v>4</v>
      </c>
      <c r="AO229" s="16">
        <f>IF(OR(V229="none"),0,((NETWORKDAYS(S229,V229,Holidays!A$2:A$13))-1))</f>
        <v>3</v>
      </c>
      <c r="AP229" s="16" t="b">
        <f t="shared" si="12"/>
        <v>0</v>
      </c>
      <c r="AQ229" s="16" t="b">
        <f t="shared" si="13"/>
        <v>1</v>
      </c>
      <c r="AR229" s="60" t="str">
        <f t="shared" si="14"/>
        <v>OK</v>
      </c>
      <c r="AS229" s="60" t="str">
        <f>IF(table_data[[#This Row],[Flagged-Issues]] = 0, "", table_data[[#This Row],[Flagged-Issues]])</f>
        <v/>
      </c>
    </row>
    <row r="230" spans="1:45" x14ac:dyDescent="0.25">
      <c r="A230" t="s">
        <v>29</v>
      </c>
      <c r="B230" t="s">
        <v>154</v>
      </c>
      <c r="C230" t="s">
        <v>122</v>
      </c>
      <c r="D230" s="65">
        <v>202703131420</v>
      </c>
      <c r="E230" t="s">
        <v>223</v>
      </c>
      <c r="F230" t="s">
        <v>173</v>
      </c>
      <c r="G230"/>
      <c r="H230" t="s">
        <v>454</v>
      </c>
      <c r="I230" t="s">
        <v>126</v>
      </c>
      <c r="J230" t="s">
        <v>145</v>
      </c>
      <c r="K230" t="s">
        <v>128</v>
      </c>
      <c r="L230">
        <v>2</v>
      </c>
      <c r="M230" t="s">
        <v>158</v>
      </c>
      <c r="N230">
        <v>8</v>
      </c>
      <c r="O230"/>
      <c r="P230"/>
      <c r="Q230">
        <v>12</v>
      </c>
      <c r="R230"/>
      <c r="S230" s="72">
        <v>45729</v>
      </c>
      <c r="T230" s="72">
        <v>45733</v>
      </c>
      <c r="U230" s="72">
        <v>45733</v>
      </c>
      <c r="V230" s="72" t="s">
        <v>130</v>
      </c>
      <c r="W230" s="72">
        <v>45748</v>
      </c>
      <c r="X230" s="72" t="s">
        <v>130</v>
      </c>
      <c r="Y230" t="s">
        <v>288</v>
      </c>
      <c r="Z230" t="s">
        <v>285</v>
      </c>
      <c r="AA230" t="s">
        <v>131</v>
      </c>
      <c r="AB230" t="s">
        <v>131</v>
      </c>
      <c r="AC230" t="s">
        <v>131</v>
      </c>
      <c r="AD230" t="s">
        <v>131</v>
      </c>
      <c r="AE230" t="s">
        <v>131</v>
      </c>
      <c r="AF230" t="s">
        <v>131</v>
      </c>
      <c r="AG230" t="s">
        <v>132</v>
      </c>
      <c r="AH230" t="s">
        <v>131</v>
      </c>
      <c r="AI230" t="s">
        <v>132</v>
      </c>
      <c r="AJ230">
        <v>0</v>
      </c>
      <c r="AK230" t="s">
        <v>131</v>
      </c>
      <c r="AL230" t="s">
        <v>131</v>
      </c>
      <c r="AM230" s="16">
        <f>IF(OR(AC230="Yes",K230="Info Request", K230="Side-Project"),0,(NETWORKDAYS(T230,U230,Holidays!A$2:A$13))-1)</f>
        <v>0</v>
      </c>
      <c r="AN230" s="16">
        <f>IF(OR(AC230="Yes",K230="Info Request", K230="Side-Project"),0,(NETWORKDAYS(U230,W230,Holidays!A$2:A$13))-1)</f>
        <v>11</v>
      </c>
      <c r="AO230" s="16">
        <f>IF(OR(V230="none"),0,((NETWORKDAYS(S230,V230,Holidays!A$2:A$13))-1))</f>
        <v>0</v>
      </c>
      <c r="AP230" s="16" t="b">
        <f t="shared" si="12"/>
        <v>1</v>
      </c>
      <c r="AQ230" s="16" t="b">
        <f t="shared" si="13"/>
        <v>1</v>
      </c>
      <c r="AR230" s="60" t="str">
        <f t="shared" si="14"/>
        <v>OK</v>
      </c>
      <c r="AS230" s="60" t="str">
        <f>IF(table_data[[#This Row],[Flagged-Issues]] = 0, "", table_data[[#This Row],[Flagged-Issues]])</f>
        <v/>
      </c>
    </row>
    <row r="231" spans="1:45" x14ac:dyDescent="0.25">
      <c r="A231" t="s">
        <v>29</v>
      </c>
      <c r="B231" t="s">
        <v>154</v>
      </c>
      <c r="C231" t="s">
        <v>122</v>
      </c>
      <c r="D231" s="65">
        <v>202504251312</v>
      </c>
      <c r="E231" t="s">
        <v>290</v>
      </c>
      <c r="F231" t="s">
        <v>139</v>
      </c>
      <c r="G231"/>
      <c r="H231" t="s">
        <v>455</v>
      </c>
      <c r="I231" t="s">
        <v>126</v>
      </c>
      <c r="J231" t="s">
        <v>136</v>
      </c>
      <c r="K231" t="s">
        <v>179</v>
      </c>
      <c r="L231">
        <v>2</v>
      </c>
      <c r="M231" t="s">
        <v>292</v>
      </c>
      <c r="N231"/>
      <c r="O231"/>
      <c r="P231"/>
      <c r="Q231"/>
      <c r="R231"/>
      <c r="S231" s="72">
        <v>45772</v>
      </c>
      <c r="T231" s="72">
        <v>45775</v>
      </c>
      <c r="U231" s="72">
        <v>45775</v>
      </c>
      <c r="V231" s="72" t="s">
        <v>130</v>
      </c>
      <c r="W231" s="72">
        <v>45775</v>
      </c>
      <c r="X231" s="72" t="s">
        <v>130</v>
      </c>
      <c r="Y231"/>
      <c r="Z231"/>
      <c r="AA231" t="s">
        <v>131</v>
      </c>
      <c r="AB231" t="s">
        <v>131</v>
      </c>
      <c r="AC231" t="s">
        <v>131</v>
      </c>
      <c r="AD231" t="s">
        <v>131</v>
      </c>
      <c r="AE231" t="s">
        <v>131</v>
      </c>
      <c r="AF231" t="s">
        <v>131</v>
      </c>
      <c r="AG231" t="s">
        <v>131</v>
      </c>
      <c r="AH231" t="s">
        <v>131</v>
      </c>
      <c r="AI231" t="s">
        <v>131</v>
      </c>
      <c r="AJ231">
        <v>0</v>
      </c>
      <c r="AK231" t="s">
        <v>131</v>
      </c>
      <c r="AL231" t="s">
        <v>132</v>
      </c>
      <c r="AM231" s="16">
        <f>IF(OR(AC231="Yes",K231="Info Request", K231="Side-Project"),0,(NETWORKDAYS(T231,U231,Holidays!A$2:A$13))-1)</f>
        <v>0</v>
      </c>
      <c r="AN231" s="16">
        <f>IF(OR(AC231="Yes",K231="Info Request", K231="Side-Project"),0,(NETWORKDAYS(U231,W231,Holidays!A$2:A$13))-1)</f>
        <v>0</v>
      </c>
      <c r="AO231" s="16">
        <f>IF(OR(V231="none"),0,((NETWORKDAYS(S231,V231,Holidays!A$2:A$13))-1))</f>
        <v>0</v>
      </c>
      <c r="AP231" s="16" t="b">
        <f t="shared" si="12"/>
        <v>1</v>
      </c>
      <c r="AQ231" s="16" t="b">
        <f t="shared" si="13"/>
        <v>1</v>
      </c>
      <c r="AR231" s="60" t="str">
        <f t="shared" si="14"/>
        <v>OK</v>
      </c>
      <c r="AS231" s="60" t="str">
        <f>IF(table_data[[#This Row],[Flagged-Issues]] = 0, "", table_data[[#This Row],[Flagged-Issues]])</f>
        <v/>
      </c>
    </row>
    <row r="232" spans="1:45" x14ac:dyDescent="0.25">
      <c r="A232" t="s">
        <v>29</v>
      </c>
      <c r="B232" t="s">
        <v>154</v>
      </c>
      <c r="C232" t="s">
        <v>122</v>
      </c>
      <c r="D232" s="65">
        <v>202504231105</v>
      </c>
      <c r="E232" t="s">
        <v>223</v>
      </c>
      <c r="F232" t="s">
        <v>173</v>
      </c>
      <c r="G232"/>
      <c r="H232" t="s">
        <v>456</v>
      </c>
      <c r="I232" t="s">
        <v>126</v>
      </c>
      <c r="J232" t="s">
        <v>167</v>
      </c>
      <c r="K232" t="s">
        <v>128</v>
      </c>
      <c r="L232">
        <v>2</v>
      </c>
      <c r="M232" t="s">
        <v>141</v>
      </c>
      <c r="N232">
        <v>2</v>
      </c>
      <c r="O232"/>
      <c r="P232"/>
      <c r="Q232"/>
      <c r="R232"/>
      <c r="S232" s="72">
        <v>45770</v>
      </c>
      <c r="T232" s="72">
        <v>45776</v>
      </c>
      <c r="U232" s="72">
        <v>45776</v>
      </c>
      <c r="V232" s="72" t="s">
        <v>130</v>
      </c>
      <c r="W232" s="72">
        <v>45777</v>
      </c>
      <c r="X232" s="72" t="s">
        <v>130</v>
      </c>
      <c r="Y232" t="s">
        <v>288</v>
      </c>
      <c r="Z232" t="s">
        <v>147</v>
      </c>
      <c r="AA232" t="s">
        <v>131</v>
      </c>
      <c r="AB232" t="s">
        <v>131</v>
      </c>
      <c r="AC232" t="s">
        <v>131</v>
      </c>
      <c r="AD232" t="s">
        <v>131</v>
      </c>
      <c r="AE232" t="s">
        <v>131</v>
      </c>
      <c r="AF232" t="s">
        <v>131</v>
      </c>
      <c r="AG232" t="s">
        <v>131</v>
      </c>
      <c r="AH232" t="s">
        <v>131</v>
      </c>
      <c r="AI232" t="s">
        <v>131</v>
      </c>
      <c r="AJ232">
        <v>0</v>
      </c>
      <c r="AK232" t="s">
        <v>132</v>
      </c>
      <c r="AL232" t="s">
        <v>131</v>
      </c>
      <c r="AM232" s="16">
        <f>IF(OR(AC232="Yes",K232="Info Request", K232="Side-Project"),0,(NETWORKDAYS(T232,U232,Holidays!A$2:A$13))-1)</f>
        <v>0</v>
      </c>
      <c r="AN232" s="16">
        <f>IF(OR(AC232="Yes",K232="Info Request", K232="Side-Project"),0,(NETWORKDAYS(U232,W232,Holidays!A$2:A$13))-1)</f>
        <v>1</v>
      </c>
      <c r="AO232" s="16">
        <f>IF(OR(V232="none"),0,((NETWORKDAYS(S232,V232,Holidays!A$2:A$13))-1))</f>
        <v>0</v>
      </c>
      <c r="AP232" s="16" t="b">
        <f t="shared" si="12"/>
        <v>1</v>
      </c>
      <c r="AQ232" s="16" t="b">
        <f t="shared" si="13"/>
        <v>1</v>
      </c>
      <c r="AR232" s="60" t="str">
        <f t="shared" si="14"/>
        <v>OK</v>
      </c>
      <c r="AS232" s="60" t="str">
        <f>IF(table_data[[#This Row],[Flagged-Issues]] = 0, "", table_data[[#This Row],[Flagged-Issues]])</f>
        <v/>
      </c>
    </row>
    <row r="233" spans="1:45" x14ac:dyDescent="0.25">
      <c r="A233" t="s">
        <v>29</v>
      </c>
      <c r="B233" t="s">
        <v>154</v>
      </c>
      <c r="C233" t="s">
        <v>122</v>
      </c>
      <c r="D233" s="65">
        <v>202504291038</v>
      </c>
      <c r="E233" t="s">
        <v>223</v>
      </c>
      <c r="F233" t="s">
        <v>173</v>
      </c>
      <c r="G233"/>
      <c r="H233" t="s">
        <v>457</v>
      </c>
      <c r="I233" t="s">
        <v>126</v>
      </c>
      <c r="J233" t="s">
        <v>127</v>
      </c>
      <c r="K233" t="s">
        <v>128</v>
      </c>
      <c r="L233">
        <v>2</v>
      </c>
      <c r="M233" t="s">
        <v>129</v>
      </c>
      <c r="N233">
        <v>2</v>
      </c>
      <c r="O233"/>
      <c r="P233"/>
      <c r="Q233"/>
      <c r="R233"/>
      <c r="S233" s="72">
        <v>45776</v>
      </c>
      <c r="T233" s="72">
        <v>45776</v>
      </c>
      <c r="U233" s="72">
        <v>45776</v>
      </c>
      <c r="V233" s="72" t="s">
        <v>130</v>
      </c>
      <c r="W233" s="72">
        <v>45777</v>
      </c>
      <c r="X233" s="72" t="s">
        <v>130</v>
      </c>
      <c r="Y233"/>
      <c r="Z233"/>
      <c r="AA233" t="s">
        <v>131</v>
      </c>
      <c r="AB233" t="s">
        <v>131</v>
      </c>
      <c r="AC233" t="s">
        <v>131</v>
      </c>
      <c r="AD233" t="s">
        <v>131</v>
      </c>
      <c r="AE233" t="s">
        <v>131</v>
      </c>
      <c r="AF233" t="s">
        <v>131</v>
      </c>
      <c r="AG233" t="s">
        <v>131</v>
      </c>
      <c r="AH233" t="s">
        <v>131</v>
      </c>
      <c r="AI233" t="s">
        <v>131</v>
      </c>
      <c r="AJ233">
        <v>0</v>
      </c>
      <c r="AK233" t="s">
        <v>131</v>
      </c>
      <c r="AL233" t="s">
        <v>132</v>
      </c>
      <c r="AM233" s="16">
        <f>IF(OR(AC233="Yes",K233="Info Request", K233="Side-Project"),0,(NETWORKDAYS(T233,U233,Holidays!A$2:A$13))-1)</f>
        <v>0</v>
      </c>
      <c r="AN233" s="16">
        <f>IF(OR(AC233="Yes",K233="Info Request", K233="Side-Project"),0,(NETWORKDAYS(U233,W233,Holidays!A$2:A$13))-1)</f>
        <v>1</v>
      </c>
      <c r="AO233" s="16">
        <f>IF(OR(V233="none"),0,((NETWORKDAYS(S233,V233,Holidays!A$2:A$13))-1))</f>
        <v>0</v>
      </c>
      <c r="AP233" s="16" t="b">
        <f t="shared" si="12"/>
        <v>1</v>
      </c>
      <c r="AQ233" s="16" t="b">
        <f t="shared" si="13"/>
        <v>1</v>
      </c>
      <c r="AR233" s="60" t="str">
        <f t="shared" si="14"/>
        <v>OK</v>
      </c>
      <c r="AS233" s="60" t="str">
        <f>IF(table_data[[#This Row],[Flagged-Issues]] = 0, "", table_data[[#This Row],[Flagged-Issues]])</f>
        <v/>
      </c>
    </row>
    <row r="234" spans="1:45" x14ac:dyDescent="0.25">
      <c r="A234" t="s">
        <v>104</v>
      </c>
      <c r="B234" t="s">
        <v>154</v>
      </c>
      <c r="C234" t="s">
        <v>122</v>
      </c>
      <c r="D234" s="65">
        <v>202504031139</v>
      </c>
      <c r="E234" t="s">
        <v>314</v>
      </c>
      <c r="F234" t="s">
        <v>134</v>
      </c>
      <c r="G234"/>
      <c r="H234" t="s">
        <v>458</v>
      </c>
      <c r="I234" t="s">
        <v>126</v>
      </c>
      <c r="J234" t="s">
        <v>136</v>
      </c>
      <c r="K234" t="s">
        <v>207</v>
      </c>
      <c r="L234">
        <v>2</v>
      </c>
      <c r="M234" t="s">
        <v>137</v>
      </c>
      <c r="N234"/>
      <c r="O234"/>
      <c r="P234"/>
      <c r="Q234">
        <v>1</v>
      </c>
      <c r="R234"/>
      <c r="S234" s="72">
        <v>45750</v>
      </c>
      <c r="T234" s="72">
        <v>45750</v>
      </c>
      <c r="U234" s="72">
        <v>45750</v>
      </c>
      <c r="V234" s="72" t="s">
        <v>130</v>
      </c>
      <c r="W234" s="72">
        <v>45750</v>
      </c>
      <c r="X234" s="72" t="s">
        <v>130</v>
      </c>
      <c r="Y234"/>
      <c r="Z234"/>
      <c r="AA234" t="s">
        <v>131</v>
      </c>
      <c r="AB234" t="s">
        <v>131</v>
      </c>
      <c r="AC234" t="s">
        <v>131</v>
      </c>
      <c r="AD234" t="s">
        <v>131</v>
      </c>
      <c r="AE234" t="s">
        <v>131</v>
      </c>
      <c r="AF234" t="s">
        <v>131</v>
      </c>
      <c r="AG234" t="s">
        <v>131</v>
      </c>
      <c r="AH234" t="s">
        <v>131</v>
      </c>
      <c r="AI234" t="s">
        <v>131</v>
      </c>
      <c r="AJ234">
        <v>0</v>
      </c>
      <c r="AK234" t="s">
        <v>131</v>
      </c>
      <c r="AL234" t="s">
        <v>132</v>
      </c>
      <c r="AM234" s="16">
        <f>IF(OR(AC234="Yes",K234="Info Request", K234="Side-Project"),0,(NETWORKDAYS(T234,U234,Holidays!A$2:A$13))-1)</f>
        <v>0</v>
      </c>
      <c r="AN234" s="16">
        <f>IF(OR(AC234="Yes",K234="Info Request", K234="Side-Project"),0,(NETWORKDAYS(U234,W234,Holidays!A$2:A$13))-1)</f>
        <v>0</v>
      </c>
      <c r="AO234" s="16">
        <f>IF(OR(V234="none"),0,((NETWORKDAYS(S234,V234,Holidays!A$2:A$13))-1))</f>
        <v>0</v>
      </c>
      <c r="AP234" s="16" t="b">
        <f t="shared" si="12"/>
        <v>1</v>
      </c>
      <c r="AQ234" s="16" t="b">
        <f t="shared" si="13"/>
        <v>1</v>
      </c>
      <c r="AR234" s="60" t="str">
        <f t="shared" si="14"/>
        <v>OK</v>
      </c>
      <c r="AS234" s="60" t="str">
        <f>IF(table_data[[#This Row],[Flagged-Issues]] = 0, "", table_data[[#This Row],[Flagged-Issues]])</f>
        <v/>
      </c>
    </row>
    <row r="235" spans="1:45" x14ac:dyDescent="0.25">
      <c r="A235" t="s">
        <v>104</v>
      </c>
      <c r="B235" t="s">
        <v>154</v>
      </c>
      <c r="C235" t="s">
        <v>122</v>
      </c>
      <c r="D235" s="65">
        <v>202504171040</v>
      </c>
      <c r="E235" t="s">
        <v>314</v>
      </c>
      <c r="F235" t="s">
        <v>134</v>
      </c>
      <c r="G235"/>
      <c r="H235" t="s">
        <v>459</v>
      </c>
      <c r="I235" t="s">
        <v>126</v>
      </c>
      <c r="J235" t="s">
        <v>206</v>
      </c>
      <c r="K235" t="s">
        <v>128</v>
      </c>
      <c r="L235">
        <v>2</v>
      </c>
      <c r="M235" t="s">
        <v>129</v>
      </c>
      <c r="N235">
        <v>2</v>
      </c>
      <c r="O235"/>
      <c r="P235"/>
      <c r="Q235"/>
      <c r="R235">
        <v>2</v>
      </c>
      <c r="S235" s="72">
        <v>45764</v>
      </c>
      <c r="T235" s="72">
        <v>45770</v>
      </c>
      <c r="U235" s="72">
        <v>45770</v>
      </c>
      <c r="V235" s="72" t="s">
        <v>130</v>
      </c>
      <c r="W235" s="72">
        <v>45772</v>
      </c>
      <c r="X235" s="72" t="s">
        <v>130</v>
      </c>
      <c r="Y235"/>
      <c r="Z235"/>
      <c r="AA235" t="s">
        <v>131</v>
      </c>
      <c r="AB235" t="s">
        <v>131</v>
      </c>
      <c r="AC235" t="s">
        <v>131</v>
      </c>
      <c r="AD235" t="s">
        <v>131</v>
      </c>
      <c r="AE235" t="s">
        <v>131</v>
      </c>
      <c r="AF235" t="s">
        <v>131</v>
      </c>
      <c r="AG235" t="s">
        <v>131</v>
      </c>
      <c r="AH235" t="s">
        <v>131</v>
      </c>
      <c r="AI235" t="s">
        <v>132</v>
      </c>
      <c r="AJ235">
        <v>0</v>
      </c>
      <c r="AK235" t="s">
        <v>131</v>
      </c>
      <c r="AL235" t="s">
        <v>132</v>
      </c>
      <c r="AM235" s="16">
        <f>IF(OR(AC235="Yes",K235="Info Request", K235="Side-Project"),0,(NETWORKDAYS(T235,U235,Holidays!A$2:A$13))-1)</f>
        <v>0</v>
      </c>
      <c r="AN235" s="16">
        <f>IF(OR(AC235="Yes",K235="Info Request", K235="Side-Project"),0,(NETWORKDAYS(U235,W235,Holidays!A$2:A$13))-1)</f>
        <v>2</v>
      </c>
      <c r="AO235" s="16">
        <f>IF(OR(V235="none"),0,((NETWORKDAYS(S235,V235,Holidays!A$2:A$13))-1))</f>
        <v>0</v>
      </c>
      <c r="AP235" s="16" t="b">
        <f t="shared" si="12"/>
        <v>1</v>
      </c>
      <c r="AQ235" s="16" t="b">
        <f t="shared" si="13"/>
        <v>1</v>
      </c>
      <c r="AR235" s="60" t="str">
        <f t="shared" si="14"/>
        <v>OK</v>
      </c>
      <c r="AS235" s="60" t="str">
        <f>IF(table_data[[#This Row],[Flagged-Issues]] = 0, "", table_data[[#This Row],[Flagged-Issues]])</f>
        <v/>
      </c>
    </row>
    <row r="236" spans="1:45" x14ac:dyDescent="0.25">
      <c r="A236" t="s">
        <v>29</v>
      </c>
      <c r="B236" t="s">
        <v>154</v>
      </c>
      <c r="C236" t="s">
        <v>122</v>
      </c>
      <c r="D236" s="65">
        <v>202504071353</v>
      </c>
      <c r="E236" t="s">
        <v>460</v>
      </c>
      <c r="F236" t="s">
        <v>124</v>
      </c>
      <c r="G236"/>
      <c r="H236" t="s">
        <v>461</v>
      </c>
      <c r="I236" t="s">
        <v>126</v>
      </c>
      <c r="J236" t="s">
        <v>151</v>
      </c>
      <c r="K236" t="s">
        <v>128</v>
      </c>
      <c r="L236">
        <v>2</v>
      </c>
      <c r="M236" t="s">
        <v>158</v>
      </c>
      <c r="N236">
        <v>2</v>
      </c>
      <c r="O236"/>
      <c r="P236"/>
      <c r="Q236">
        <v>1</v>
      </c>
      <c r="R236"/>
      <c r="S236" s="72">
        <v>45754</v>
      </c>
      <c r="T236" s="72">
        <v>45756</v>
      </c>
      <c r="U236" s="72">
        <v>45756</v>
      </c>
      <c r="V236" s="72" t="s">
        <v>130</v>
      </c>
      <c r="W236" s="72">
        <v>45757</v>
      </c>
      <c r="X236" s="72" t="s">
        <v>130</v>
      </c>
      <c r="Y236"/>
      <c r="Z236"/>
      <c r="AA236" t="s">
        <v>131</v>
      </c>
      <c r="AB236" t="s">
        <v>131</v>
      </c>
      <c r="AC236" t="s">
        <v>131</v>
      </c>
      <c r="AD236" t="s">
        <v>131</v>
      </c>
      <c r="AE236" t="s">
        <v>131</v>
      </c>
      <c r="AF236" t="s">
        <v>131</v>
      </c>
      <c r="AG236" t="s">
        <v>131</v>
      </c>
      <c r="AH236" t="s">
        <v>131</v>
      </c>
      <c r="AI236" t="s">
        <v>131</v>
      </c>
      <c r="AJ236">
        <v>0</v>
      </c>
      <c r="AK236" t="s">
        <v>131</v>
      </c>
      <c r="AL236" t="s">
        <v>132</v>
      </c>
      <c r="AM236" s="16">
        <f>IF(OR(AC236="Yes",K236="Info Request", K236="Side-Project"),0,(NETWORKDAYS(T236,U236,Holidays!A$2:A$13))-1)</f>
        <v>0</v>
      </c>
      <c r="AN236" s="16">
        <f>IF(OR(AC236="Yes",K236="Info Request", K236="Side-Project"),0,(NETWORKDAYS(U236,W236,Holidays!A$2:A$13))-1)</f>
        <v>1</v>
      </c>
      <c r="AO236" s="16">
        <f>IF(OR(V236="none"),0,((NETWORKDAYS(S236,V236,Holidays!A$2:A$13))-1))</f>
        <v>0</v>
      </c>
      <c r="AP236" s="16" t="b">
        <f t="shared" si="12"/>
        <v>1</v>
      </c>
      <c r="AQ236" s="16" t="b">
        <f t="shared" si="13"/>
        <v>1</v>
      </c>
      <c r="AR236" s="60" t="str">
        <f t="shared" si="14"/>
        <v>OK</v>
      </c>
      <c r="AS236" s="60" t="str">
        <f>IF(table_data[[#This Row],[Flagged-Issues]] = 0, "", table_data[[#This Row],[Flagged-Issues]])</f>
        <v/>
      </c>
    </row>
    <row r="237" spans="1:45" x14ac:dyDescent="0.25">
      <c r="A237" t="s">
        <v>29</v>
      </c>
      <c r="B237" t="s">
        <v>154</v>
      </c>
      <c r="C237" t="s">
        <v>122</v>
      </c>
      <c r="D237" s="65">
        <v>202503111123</v>
      </c>
      <c r="E237" t="s">
        <v>462</v>
      </c>
      <c r="F237" t="s">
        <v>124</v>
      </c>
      <c r="G237"/>
      <c r="H237" t="s">
        <v>463</v>
      </c>
      <c r="I237" t="s">
        <v>126</v>
      </c>
      <c r="J237" t="s">
        <v>167</v>
      </c>
      <c r="K237" t="s">
        <v>128</v>
      </c>
      <c r="L237">
        <v>2</v>
      </c>
      <c r="M237" t="s">
        <v>162</v>
      </c>
      <c r="N237">
        <v>2</v>
      </c>
      <c r="O237">
        <v>2</v>
      </c>
      <c r="P237"/>
      <c r="Q237"/>
      <c r="R237"/>
      <c r="S237" s="72">
        <v>45727</v>
      </c>
      <c r="T237" s="72">
        <v>45734</v>
      </c>
      <c r="U237" s="72">
        <v>45734</v>
      </c>
      <c r="V237" s="72" t="s">
        <v>130</v>
      </c>
      <c r="W237" s="72">
        <v>45769</v>
      </c>
      <c r="X237" s="72" t="s">
        <v>130</v>
      </c>
      <c r="Y237" t="s">
        <v>146</v>
      </c>
      <c r="Z237" t="s">
        <v>147</v>
      </c>
      <c r="AA237" t="s">
        <v>131</v>
      </c>
      <c r="AB237" t="s">
        <v>131</v>
      </c>
      <c r="AC237" t="s">
        <v>131</v>
      </c>
      <c r="AD237" t="s">
        <v>131</v>
      </c>
      <c r="AE237" t="s">
        <v>131</v>
      </c>
      <c r="AF237" t="s">
        <v>131</v>
      </c>
      <c r="AG237" t="s">
        <v>131</v>
      </c>
      <c r="AH237" t="s">
        <v>131</v>
      </c>
      <c r="AI237" t="s">
        <v>131</v>
      </c>
      <c r="AJ237">
        <v>0</v>
      </c>
      <c r="AK237" t="s">
        <v>131</v>
      </c>
      <c r="AL237" t="s">
        <v>148</v>
      </c>
      <c r="AM237" s="16">
        <f>IF(OR(AC237="Yes",K237="Info Request", K237="Side-Project"),0,(NETWORKDAYS(T237,U237,Holidays!A$2:A$13))-1)</f>
        <v>0</v>
      </c>
      <c r="AN237" s="16">
        <f>IF(OR(AC237="Yes",K237="Info Request", K237="Side-Project"),0,(NETWORKDAYS(U237,W237,Holidays!A$2:A$13))-1)</f>
        <v>23</v>
      </c>
      <c r="AO237" s="16">
        <f>IF(OR(V237="none"),0,((NETWORKDAYS(S237,V237,Holidays!A$2:A$13))-1))</f>
        <v>0</v>
      </c>
      <c r="AP237" s="16" t="b">
        <f t="shared" si="12"/>
        <v>1</v>
      </c>
      <c r="AQ237" s="16" t="b">
        <f t="shared" si="13"/>
        <v>1</v>
      </c>
      <c r="AR237" s="60" t="str">
        <f t="shared" si="14"/>
        <v>OK</v>
      </c>
      <c r="AS237" s="60" t="str">
        <f>IF(table_data[[#This Row],[Flagged-Issues]] = 0, "", table_data[[#This Row],[Flagged-Issues]])</f>
        <v/>
      </c>
    </row>
    <row r="238" spans="1:45" x14ac:dyDescent="0.25">
      <c r="A238" t="s">
        <v>29</v>
      </c>
      <c r="B238" t="s">
        <v>154</v>
      </c>
      <c r="C238" t="s">
        <v>122</v>
      </c>
      <c r="D238" s="65">
        <v>202504301438</v>
      </c>
      <c r="E238" t="s">
        <v>460</v>
      </c>
      <c r="F238" t="s">
        <v>124</v>
      </c>
      <c r="G238"/>
      <c r="H238" t="s">
        <v>464</v>
      </c>
      <c r="I238" t="s">
        <v>126</v>
      </c>
      <c r="J238" t="s">
        <v>136</v>
      </c>
      <c r="K238" t="s">
        <v>207</v>
      </c>
      <c r="L238">
        <v>2</v>
      </c>
      <c r="M238" t="s">
        <v>318</v>
      </c>
      <c r="N238">
        <v>2</v>
      </c>
      <c r="O238"/>
      <c r="P238"/>
      <c r="Q238"/>
      <c r="R238"/>
      <c r="S238" s="72">
        <v>45777</v>
      </c>
      <c r="T238" s="72">
        <v>45777</v>
      </c>
      <c r="U238" s="72">
        <v>45777</v>
      </c>
      <c r="V238" s="72" t="s">
        <v>130</v>
      </c>
      <c r="W238" s="72">
        <v>45777</v>
      </c>
      <c r="X238" s="72" t="s">
        <v>130</v>
      </c>
      <c r="Y238"/>
      <c r="Z238"/>
      <c r="AA238" t="s">
        <v>131</v>
      </c>
      <c r="AB238" t="s">
        <v>131</v>
      </c>
      <c r="AC238" t="s">
        <v>132</v>
      </c>
      <c r="AD238" t="s">
        <v>131</v>
      </c>
      <c r="AE238" t="s">
        <v>131</v>
      </c>
      <c r="AF238" t="s">
        <v>131</v>
      </c>
      <c r="AG238" t="s">
        <v>131</v>
      </c>
      <c r="AH238" t="s">
        <v>131</v>
      </c>
      <c r="AI238" t="s">
        <v>131</v>
      </c>
      <c r="AJ238">
        <v>0</v>
      </c>
      <c r="AK238" t="s">
        <v>131</v>
      </c>
      <c r="AL238" t="s">
        <v>132</v>
      </c>
      <c r="AM238" s="16">
        <f>IF(OR(AC238="Yes",K238="Info Request", K238="Side-Project"),0,(NETWORKDAYS(T238,U238,Holidays!A$2:A$13))-1)</f>
        <v>0</v>
      </c>
      <c r="AN238" s="16">
        <f>IF(OR(AC238="Yes",K238="Info Request", K238="Side-Project"),0,(NETWORKDAYS(U238,W238,Holidays!A$2:A$13))-1)</f>
        <v>0</v>
      </c>
      <c r="AO238" s="16">
        <f>IF(OR(V238="none"),0,((NETWORKDAYS(S238,V238,Holidays!A$2:A$13))-1))</f>
        <v>0</v>
      </c>
      <c r="AP238" s="16" t="b">
        <f t="shared" si="12"/>
        <v>1</v>
      </c>
      <c r="AQ238" s="16" t="b">
        <f t="shared" si="13"/>
        <v>1</v>
      </c>
      <c r="AR238" s="60" t="str">
        <f t="shared" si="14"/>
        <v>OK</v>
      </c>
      <c r="AS238" s="60" t="str">
        <f>IF(table_data[[#This Row],[Flagged-Issues]] = 0, "", table_data[[#This Row],[Flagged-Issues]])</f>
        <v/>
      </c>
    </row>
    <row r="239" spans="1:45" x14ac:dyDescent="0.25">
      <c r="A239" t="s">
        <v>29</v>
      </c>
      <c r="B239" t="s">
        <v>154</v>
      </c>
      <c r="C239" t="s">
        <v>122</v>
      </c>
      <c r="D239" s="65">
        <v>202503270853</v>
      </c>
      <c r="E239" t="s">
        <v>213</v>
      </c>
      <c r="F239" t="s">
        <v>139</v>
      </c>
      <c r="G239"/>
      <c r="H239" t="s">
        <v>465</v>
      </c>
      <c r="I239" t="s">
        <v>126</v>
      </c>
      <c r="J239" t="s">
        <v>136</v>
      </c>
      <c r="K239" t="s">
        <v>128</v>
      </c>
      <c r="L239">
        <v>2</v>
      </c>
      <c r="M239" t="s">
        <v>187</v>
      </c>
      <c r="N239">
        <v>2</v>
      </c>
      <c r="O239"/>
      <c r="P239"/>
      <c r="Q239"/>
      <c r="R239"/>
      <c r="S239" s="72">
        <v>45743</v>
      </c>
      <c r="T239" s="72">
        <v>45748</v>
      </c>
      <c r="U239" s="72">
        <v>45748</v>
      </c>
      <c r="V239" s="72" t="s">
        <v>130</v>
      </c>
      <c r="W239" s="72">
        <v>45749</v>
      </c>
      <c r="X239" s="72" t="s">
        <v>130</v>
      </c>
      <c r="Y239" t="s">
        <v>146</v>
      </c>
      <c r="Z239" t="s">
        <v>147</v>
      </c>
      <c r="AA239" t="s">
        <v>131</v>
      </c>
      <c r="AB239" t="s">
        <v>131</v>
      </c>
      <c r="AC239" t="s">
        <v>131</v>
      </c>
      <c r="AD239" t="s">
        <v>132</v>
      </c>
      <c r="AE239" t="s">
        <v>131</v>
      </c>
      <c r="AF239" t="s">
        <v>131</v>
      </c>
      <c r="AG239" t="s">
        <v>131</v>
      </c>
      <c r="AH239" t="s">
        <v>131</v>
      </c>
      <c r="AI239" t="s">
        <v>131</v>
      </c>
      <c r="AJ239">
        <v>0</v>
      </c>
      <c r="AK239" t="s">
        <v>132</v>
      </c>
      <c r="AL239" t="s">
        <v>148</v>
      </c>
      <c r="AM239" s="16">
        <f>IF(OR(AC239="Yes",K239="Info Request", K239="Side-Project"),0,(NETWORKDAYS(T239,U239,Holidays!A$2:A$13))-1)</f>
        <v>0</v>
      </c>
      <c r="AN239" s="16">
        <f>IF(OR(AC239="Yes",K239="Info Request", K239="Side-Project"),0,(NETWORKDAYS(U239,W239,Holidays!A$2:A$13))-1)</f>
        <v>1</v>
      </c>
      <c r="AO239" s="16">
        <f>IF(OR(V239="none"),0,((NETWORKDAYS(S239,V239,Holidays!A$2:A$13))-1))</f>
        <v>0</v>
      </c>
      <c r="AP239" s="16" t="b">
        <f t="shared" si="12"/>
        <v>1</v>
      </c>
      <c r="AQ239" s="16" t="b">
        <f t="shared" si="13"/>
        <v>1</v>
      </c>
      <c r="AR239" s="60" t="str">
        <f t="shared" si="14"/>
        <v>OK</v>
      </c>
      <c r="AS239" s="60" t="str">
        <f>IF(table_data[[#This Row],[Flagged-Issues]] = 0, "", table_data[[#This Row],[Flagged-Issues]])</f>
        <v/>
      </c>
    </row>
    <row r="240" spans="1:45" x14ac:dyDescent="0.25">
      <c r="A240" t="s">
        <v>29</v>
      </c>
      <c r="B240" t="s">
        <v>154</v>
      </c>
      <c r="C240" t="s">
        <v>122</v>
      </c>
      <c r="D240" s="65">
        <v>202504011051</v>
      </c>
      <c r="E240" t="s">
        <v>350</v>
      </c>
      <c r="F240" t="s">
        <v>139</v>
      </c>
      <c r="G240"/>
      <c r="H240" t="s">
        <v>466</v>
      </c>
      <c r="I240" t="s">
        <v>126</v>
      </c>
      <c r="J240" t="s">
        <v>136</v>
      </c>
      <c r="K240" t="s">
        <v>207</v>
      </c>
      <c r="L240">
        <v>2</v>
      </c>
      <c r="M240" t="s">
        <v>137</v>
      </c>
      <c r="N240"/>
      <c r="O240"/>
      <c r="P240"/>
      <c r="Q240">
        <v>1</v>
      </c>
      <c r="R240"/>
      <c r="S240" s="72">
        <v>45748</v>
      </c>
      <c r="T240" s="72">
        <v>45748</v>
      </c>
      <c r="U240" s="72">
        <v>45748</v>
      </c>
      <c r="V240" s="72" t="s">
        <v>130</v>
      </c>
      <c r="W240" s="72">
        <v>45748</v>
      </c>
      <c r="X240" s="72" t="s">
        <v>130</v>
      </c>
      <c r="Y240"/>
      <c r="Z240"/>
      <c r="AA240" t="s">
        <v>131</v>
      </c>
      <c r="AB240" t="s">
        <v>131</v>
      </c>
      <c r="AC240" t="s">
        <v>131</v>
      </c>
      <c r="AD240" t="s">
        <v>131</v>
      </c>
      <c r="AE240" t="s">
        <v>131</v>
      </c>
      <c r="AF240" t="s">
        <v>131</v>
      </c>
      <c r="AG240" t="s">
        <v>131</v>
      </c>
      <c r="AH240" t="s">
        <v>131</v>
      </c>
      <c r="AI240" t="s">
        <v>131</v>
      </c>
      <c r="AJ240">
        <v>0</v>
      </c>
      <c r="AK240" t="s">
        <v>131</v>
      </c>
      <c r="AL240" t="s">
        <v>132</v>
      </c>
      <c r="AM240" s="16">
        <f>IF(OR(AC240="Yes",K240="Info Request", K240="Side-Project"),0,(NETWORKDAYS(T240,U240,Holidays!A$2:A$13))-1)</f>
        <v>0</v>
      </c>
      <c r="AN240" s="16">
        <f>IF(OR(AC240="Yes",K240="Info Request", K240="Side-Project"),0,(NETWORKDAYS(U240,W240,Holidays!A$2:A$13))-1)</f>
        <v>0</v>
      </c>
      <c r="AO240" s="16">
        <f>IF(OR(V240="none"),0,((NETWORKDAYS(S240,V240,Holidays!A$2:A$13))-1))</f>
        <v>0</v>
      </c>
      <c r="AP240" s="16" t="b">
        <f t="shared" si="12"/>
        <v>1</v>
      </c>
      <c r="AQ240" s="16" t="b">
        <f t="shared" si="13"/>
        <v>1</v>
      </c>
      <c r="AR240" s="60" t="str">
        <f t="shared" si="14"/>
        <v>OK</v>
      </c>
      <c r="AS240" s="60" t="str">
        <f>IF(table_data[[#This Row],[Flagged-Issues]] = 0, "", table_data[[#This Row],[Flagged-Issues]])</f>
        <v/>
      </c>
    </row>
    <row r="241" spans="1:45" x14ac:dyDescent="0.25">
      <c r="A241" t="s">
        <v>29</v>
      </c>
      <c r="B241" t="s">
        <v>154</v>
      </c>
      <c r="C241" t="s">
        <v>122</v>
      </c>
      <c r="D241" s="65">
        <v>202504101444</v>
      </c>
      <c r="E241" t="s">
        <v>467</v>
      </c>
      <c r="F241" t="s">
        <v>124</v>
      </c>
      <c r="G241"/>
      <c r="H241" t="s">
        <v>468</v>
      </c>
      <c r="I241" t="s">
        <v>126</v>
      </c>
      <c r="J241" t="s">
        <v>136</v>
      </c>
      <c r="K241" t="s">
        <v>128</v>
      </c>
      <c r="L241">
        <v>2</v>
      </c>
      <c r="M241" t="s">
        <v>137</v>
      </c>
      <c r="N241">
        <v>2</v>
      </c>
      <c r="O241"/>
      <c r="P241"/>
      <c r="Q241"/>
      <c r="R241"/>
      <c r="S241" s="72">
        <v>45757</v>
      </c>
      <c r="T241" s="72">
        <v>45758</v>
      </c>
      <c r="U241" s="72">
        <v>45758</v>
      </c>
      <c r="V241" s="72" t="s">
        <v>130</v>
      </c>
      <c r="W241" s="72">
        <v>45758</v>
      </c>
      <c r="X241" s="72" t="s">
        <v>130</v>
      </c>
      <c r="Y241"/>
      <c r="Z241"/>
      <c r="AA241" t="s">
        <v>131</v>
      </c>
      <c r="AB241" t="s">
        <v>131</v>
      </c>
      <c r="AC241" t="s">
        <v>131</v>
      </c>
      <c r="AD241" t="s">
        <v>131</v>
      </c>
      <c r="AE241" t="s">
        <v>131</v>
      </c>
      <c r="AF241" t="s">
        <v>131</v>
      </c>
      <c r="AG241" t="s">
        <v>131</v>
      </c>
      <c r="AH241" t="s">
        <v>131</v>
      </c>
      <c r="AI241" t="s">
        <v>131</v>
      </c>
      <c r="AJ241">
        <v>0</v>
      </c>
      <c r="AK241" t="s">
        <v>131</v>
      </c>
      <c r="AL241" t="s">
        <v>132</v>
      </c>
      <c r="AM241" s="16">
        <f>IF(OR(AC241="Yes",K241="Info Request", K241="Side-Project"),0,(NETWORKDAYS(T241,U241,Holidays!A$2:A$13))-1)</f>
        <v>0</v>
      </c>
      <c r="AN241" s="16">
        <f>IF(OR(AC241="Yes",K241="Info Request", K241="Side-Project"),0,(NETWORKDAYS(U241,W241,Holidays!A$2:A$13))-1)</f>
        <v>0</v>
      </c>
      <c r="AO241" s="16">
        <f>IF(OR(V241="none"),0,((NETWORKDAYS(S241,V241,Holidays!A$2:A$13))-1))</f>
        <v>0</v>
      </c>
      <c r="AP241" s="16" t="b">
        <f t="shared" si="12"/>
        <v>1</v>
      </c>
      <c r="AQ241" s="16" t="b">
        <f t="shared" si="13"/>
        <v>1</v>
      </c>
      <c r="AR241" s="60" t="str">
        <f t="shared" si="14"/>
        <v>OK</v>
      </c>
      <c r="AS241" s="60" t="str">
        <f>IF(table_data[[#This Row],[Flagged-Issues]] = 0, "", table_data[[#This Row],[Flagged-Issues]])</f>
        <v/>
      </c>
    </row>
    <row r="242" spans="1:45" x14ac:dyDescent="0.25">
      <c r="A242" t="s">
        <v>104</v>
      </c>
      <c r="B242" t="s">
        <v>121</v>
      </c>
      <c r="C242" t="s">
        <v>122</v>
      </c>
      <c r="D242" s="65">
        <v>202504231443</v>
      </c>
      <c r="E242" t="s">
        <v>183</v>
      </c>
      <c r="F242" t="s">
        <v>134</v>
      </c>
      <c r="G242"/>
      <c r="H242" t="s">
        <v>469</v>
      </c>
      <c r="I242" t="s">
        <v>126</v>
      </c>
      <c r="J242" t="s">
        <v>151</v>
      </c>
      <c r="K242" t="s">
        <v>128</v>
      </c>
      <c r="L242">
        <v>2</v>
      </c>
      <c r="M242" t="s">
        <v>158</v>
      </c>
      <c r="N242">
        <v>2</v>
      </c>
      <c r="O242"/>
      <c r="P242"/>
      <c r="Q242"/>
      <c r="R242"/>
      <c r="S242" s="72">
        <v>45770</v>
      </c>
      <c r="T242" s="72">
        <v>45770</v>
      </c>
      <c r="U242" s="72">
        <v>45771</v>
      </c>
      <c r="V242" s="72" t="s">
        <v>130</v>
      </c>
      <c r="W242" s="72">
        <v>45772</v>
      </c>
      <c r="X242" s="72" t="s">
        <v>130</v>
      </c>
      <c r="Y242" t="s">
        <v>146</v>
      </c>
      <c r="Z242" t="s">
        <v>147</v>
      </c>
      <c r="AA242" t="s">
        <v>131</v>
      </c>
      <c r="AB242" t="s">
        <v>132</v>
      </c>
      <c r="AC242" t="s">
        <v>131</v>
      </c>
      <c r="AD242" t="s">
        <v>131</v>
      </c>
      <c r="AE242" t="s">
        <v>131</v>
      </c>
      <c r="AF242" t="s">
        <v>131</v>
      </c>
      <c r="AG242" t="s">
        <v>131</v>
      </c>
      <c r="AH242" t="s">
        <v>131</v>
      </c>
      <c r="AI242" t="s">
        <v>131</v>
      </c>
      <c r="AJ242">
        <v>0</v>
      </c>
      <c r="AK242" t="s">
        <v>131</v>
      </c>
      <c r="AL242" t="s">
        <v>131</v>
      </c>
      <c r="AM242" s="16">
        <f>IF(OR(AC242="Yes",K242="Info Request", K242="Side-Project"),0,(NETWORKDAYS(T242,U242,Holidays!A$2:A$13))-1)</f>
        <v>1</v>
      </c>
      <c r="AN242" s="16">
        <f>IF(OR(AC242="Yes",K242="Info Request", K242="Side-Project"),0,(NETWORKDAYS(U242,W242,Holidays!A$2:A$13))-1)</f>
        <v>1</v>
      </c>
      <c r="AO242" s="16">
        <f>IF(OR(V242="none"),0,((NETWORKDAYS(S242,V242,Holidays!A$2:A$13))-1))</f>
        <v>0</v>
      </c>
      <c r="AP242" s="16" t="b">
        <f t="shared" si="12"/>
        <v>1</v>
      </c>
      <c r="AQ242" s="16" t="b">
        <f t="shared" si="13"/>
        <v>1</v>
      </c>
      <c r="AR242" s="60" t="str">
        <f t="shared" si="14"/>
        <v>OK</v>
      </c>
      <c r="AS242" s="60" t="str">
        <f>IF(table_data[[#This Row],[Flagged-Issues]] = 0, "", table_data[[#This Row],[Flagged-Issues]])</f>
        <v/>
      </c>
    </row>
    <row r="243" spans="1:45" x14ac:dyDescent="0.25">
      <c r="A243" t="s">
        <v>104</v>
      </c>
      <c r="B243" t="s">
        <v>121</v>
      </c>
      <c r="C243" t="s">
        <v>122</v>
      </c>
      <c r="D243" s="65">
        <v>202504071547</v>
      </c>
      <c r="E243" t="s">
        <v>183</v>
      </c>
      <c r="F243" t="s">
        <v>134</v>
      </c>
      <c r="G243"/>
      <c r="H243" t="s">
        <v>470</v>
      </c>
      <c r="I243" t="s">
        <v>126</v>
      </c>
      <c r="J243" t="s">
        <v>136</v>
      </c>
      <c r="K243" t="s">
        <v>128</v>
      </c>
      <c r="L243">
        <v>2</v>
      </c>
      <c r="M243" t="s">
        <v>162</v>
      </c>
      <c r="N243">
        <v>4</v>
      </c>
      <c r="O243"/>
      <c r="P243"/>
      <c r="Q243"/>
      <c r="R243"/>
      <c r="S243" s="72">
        <v>45754</v>
      </c>
      <c r="T243" s="72">
        <v>45754</v>
      </c>
      <c r="U243" s="72">
        <v>45754</v>
      </c>
      <c r="V243" s="72" t="s">
        <v>130</v>
      </c>
      <c r="W243" s="72">
        <v>45755</v>
      </c>
      <c r="X243" s="72" t="s">
        <v>130</v>
      </c>
      <c r="Y243"/>
      <c r="Z243"/>
      <c r="AA243" t="s">
        <v>131</v>
      </c>
      <c r="AB243" t="s">
        <v>132</v>
      </c>
      <c r="AC243" t="s">
        <v>131</v>
      </c>
      <c r="AD243" t="s">
        <v>131</v>
      </c>
      <c r="AE243" t="s">
        <v>131</v>
      </c>
      <c r="AF243" t="s">
        <v>131</v>
      </c>
      <c r="AG243" t="s">
        <v>131</v>
      </c>
      <c r="AH243" t="s">
        <v>131</v>
      </c>
      <c r="AI243" t="s">
        <v>132</v>
      </c>
      <c r="AJ243">
        <v>0</v>
      </c>
      <c r="AK243" t="s">
        <v>131</v>
      </c>
      <c r="AL243" t="s">
        <v>132</v>
      </c>
      <c r="AM243" s="16">
        <f>IF(OR(AC243="Yes",K243="Info Request", K243="Side-Project"),0,(NETWORKDAYS(T243,U243,Holidays!A$2:A$13))-1)</f>
        <v>0</v>
      </c>
      <c r="AN243" s="16">
        <f>IF(OR(AC243="Yes",K243="Info Request", K243="Side-Project"),0,(NETWORKDAYS(U243,W243,Holidays!A$2:A$13))-1)</f>
        <v>1</v>
      </c>
      <c r="AO243" s="16">
        <f>IF(OR(V243="none"),0,((NETWORKDAYS(S243,V243,Holidays!A$2:A$13))-1))</f>
        <v>0</v>
      </c>
      <c r="AP243" s="16" t="b">
        <f t="shared" si="12"/>
        <v>1</v>
      </c>
      <c r="AQ243" s="16" t="b">
        <f t="shared" si="13"/>
        <v>1</v>
      </c>
      <c r="AR243" s="60" t="str">
        <f t="shared" si="14"/>
        <v>OK</v>
      </c>
      <c r="AS243" s="60" t="str">
        <f>IF(table_data[[#This Row],[Flagged-Issues]] = 0, "", table_data[[#This Row],[Flagged-Issues]])</f>
        <v/>
      </c>
    </row>
    <row r="244" spans="1:45" x14ac:dyDescent="0.25">
      <c r="A244" t="s">
        <v>29</v>
      </c>
      <c r="B244" t="s">
        <v>121</v>
      </c>
      <c r="C244" t="s">
        <v>122</v>
      </c>
      <c r="D244" s="65">
        <v>202504031147</v>
      </c>
      <c r="E244" t="s">
        <v>196</v>
      </c>
      <c r="F244" t="s">
        <v>173</v>
      </c>
      <c r="G244"/>
      <c r="H244" t="s">
        <v>471</v>
      </c>
      <c r="I244" t="s">
        <v>126</v>
      </c>
      <c r="J244" t="s">
        <v>127</v>
      </c>
      <c r="K244" t="s">
        <v>128</v>
      </c>
      <c r="L244">
        <v>2</v>
      </c>
      <c r="M244" t="s">
        <v>129</v>
      </c>
      <c r="N244">
        <v>2</v>
      </c>
      <c r="O244"/>
      <c r="P244"/>
      <c r="Q244">
        <v>3</v>
      </c>
      <c r="R244"/>
      <c r="S244" s="72">
        <v>45750</v>
      </c>
      <c r="T244" s="72">
        <v>45750</v>
      </c>
      <c r="U244" s="72">
        <v>45750</v>
      </c>
      <c r="V244" s="72" t="s">
        <v>130</v>
      </c>
      <c r="W244" s="72">
        <v>45751</v>
      </c>
      <c r="X244" s="72" t="s">
        <v>130</v>
      </c>
      <c r="Y244" t="s">
        <v>146</v>
      </c>
      <c r="Z244" t="s">
        <v>147</v>
      </c>
      <c r="AA244" t="s">
        <v>131</v>
      </c>
      <c r="AB244" t="s">
        <v>132</v>
      </c>
      <c r="AC244" t="s">
        <v>131</v>
      </c>
      <c r="AD244" t="s">
        <v>131</v>
      </c>
      <c r="AE244" t="s">
        <v>131</v>
      </c>
      <c r="AF244" t="s">
        <v>131</v>
      </c>
      <c r="AG244" t="s">
        <v>132</v>
      </c>
      <c r="AH244" t="s">
        <v>131</v>
      </c>
      <c r="AI244" t="s">
        <v>131</v>
      </c>
      <c r="AJ244">
        <v>0</v>
      </c>
      <c r="AK244" t="s">
        <v>131</v>
      </c>
      <c r="AL244" t="s">
        <v>148</v>
      </c>
      <c r="AM244" s="16">
        <f>IF(OR(AC244="Yes",K244="Info Request", K244="Side-Project"),0,(NETWORKDAYS(T244,U244,Holidays!A$2:A$13))-1)</f>
        <v>0</v>
      </c>
      <c r="AN244" s="16">
        <f>IF(OR(AC244="Yes",K244="Info Request", K244="Side-Project"),0,(NETWORKDAYS(U244,W244,Holidays!A$2:A$13))-1)</f>
        <v>1</v>
      </c>
      <c r="AO244" s="16">
        <f>IF(OR(V244="none"),0,((NETWORKDAYS(S244,V244,Holidays!A$2:A$13))-1))</f>
        <v>0</v>
      </c>
      <c r="AP244" s="16" t="b">
        <f t="shared" si="12"/>
        <v>1</v>
      </c>
      <c r="AQ244" s="16" t="b">
        <f t="shared" si="13"/>
        <v>1</v>
      </c>
      <c r="AR244" s="60" t="str">
        <f t="shared" si="14"/>
        <v>OK</v>
      </c>
      <c r="AS244" s="60" t="str">
        <f>IF(table_data[[#This Row],[Flagged-Issues]] = 0, "", table_data[[#This Row],[Flagged-Issues]])</f>
        <v/>
      </c>
    </row>
    <row r="245" spans="1:45" x14ac:dyDescent="0.25">
      <c r="A245" t="s">
        <v>104</v>
      </c>
      <c r="B245" t="s">
        <v>154</v>
      </c>
      <c r="C245" t="s">
        <v>122</v>
      </c>
      <c r="D245" s="65">
        <v>202504220326</v>
      </c>
      <c r="E245" t="s">
        <v>198</v>
      </c>
      <c r="F245" t="s">
        <v>134</v>
      </c>
      <c r="G245"/>
      <c r="H245" t="s">
        <v>472</v>
      </c>
      <c r="I245" t="s">
        <v>126</v>
      </c>
      <c r="J245" t="s">
        <v>136</v>
      </c>
      <c r="K245" t="s">
        <v>128</v>
      </c>
      <c r="L245">
        <v>2</v>
      </c>
      <c r="M245" t="s">
        <v>129</v>
      </c>
      <c r="N245">
        <v>2</v>
      </c>
      <c r="O245"/>
      <c r="P245"/>
      <c r="Q245"/>
      <c r="R245"/>
      <c r="S245" s="72">
        <v>45769</v>
      </c>
      <c r="T245" s="72">
        <v>45769</v>
      </c>
      <c r="U245" s="72">
        <v>45769</v>
      </c>
      <c r="V245" s="72" t="s">
        <v>130</v>
      </c>
      <c r="W245" s="72">
        <v>45769</v>
      </c>
      <c r="X245" s="72" t="s">
        <v>130</v>
      </c>
      <c r="Y245"/>
      <c r="Z245"/>
      <c r="AA245" t="s">
        <v>131</v>
      </c>
      <c r="AB245" t="s">
        <v>131</v>
      </c>
      <c r="AC245" t="s">
        <v>131</v>
      </c>
      <c r="AD245" t="s">
        <v>131</v>
      </c>
      <c r="AE245" t="s">
        <v>131</v>
      </c>
      <c r="AF245" t="s">
        <v>131</v>
      </c>
      <c r="AG245" t="s">
        <v>131</v>
      </c>
      <c r="AH245" t="s">
        <v>131</v>
      </c>
      <c r="AI245" t="s">
        <v>131</v>
      </c>
      <c r="AJ245">
        <v>0</v>
      </c>
      <c r="AK245" t="s">
        <v>131</v>
      </c>
      <c r="AL245" t="s">
        <v>132</v>
      </c>
      <c r="AM245" s="16">
        <f>IF(OR(AC245="Yes",K245="Info Request", K245="Side-Project"),0,(NETWORKDAYS(T245,U245,Holidays!A$2:A$13))-1)</f>
        <v>0</v>
      </c>
      <c r="AN245" s="16">
        <f>IF(OR(AC245="Yes",K245="Info Request", K245="Side-Project"),0,(NETWORKDAYS(U245,W245,Holidays!A$2:A$13))-1)</f>
        <v>0</v>
      </c>
      <c r="AO245" s="16">
        <f>IF(OR(V245="none"),0,((NETWORKDAYS(S245,V245,Holidays!A$2:A$13))-1))</f>
        <v>0</v>
      </c>
      <c r="AP245" s="16" t="b">
        <f t="shared" si="12"/>
        <v>1</v>
      </c>
      <c r="AQ245" s="16" t="b">
        <f t="shared" si="13"/>
        <v>1</v>
      </c>
      <c r="AR245" s="60" t="str">
        <f t="shared" si="14"/>
        <v>OK</v>
      </c>
      <c r="AS245" s="60" t="str">
        <f>IF(table_data[[#This Row],[Flagged-Issues]] = 0, "", table_data[[#This Row],[Flagged-Issues]])</f>
        <v/>
      </c>
    </row>
    <row r="246" spans="1:45" x14ac:dyDescent="0.25">
      <c r="A246" t="s">
        <v>104</v>
      </c>
      <c r="B246" t="s">
        <v>121</v>
      </c>
      <c r="C246" t="s">
        <v>122</v>
      </c>
      <c r="D246" s="65">
        <v>202504301011</v>
      </c>
      <c r="E246" t="s">
        <v>217</v>
      </c>
      <c r="F246" t="s">
        <v>134</v>
      </c>
      <c r="G246"/>
      <c r="H246" t="s">
        <v>473</v>
      </c>
      <c r="I246" t="s">
        <v>126</v>
      </c>
      <c r="J246" t="s">
        <v>136</v>
      </c>
      <c r="K246" t="s">
        <v>128</v>
      </c>
      <c r="L246">
        <v>2</v>
      </c>
      <c r="M246" t="s">
        <v>187</v>
      </c>
      <c r="N246">
        <v>3</v>
      </c>
      <c r="O246"/>
      <c r="P246"/>
      <c r="Q246"/>
      <c r="R246"/>
      <c r="S246" s="72">
        <v>45777</v>
      </c>
      <c r="T246" s="72">
        <v>45777</v>
      </c>
      <c r="U246" s="72">
        <v>45777</v>
      </c>
      <c r="V246" s="72" t="s">
        <v>130</v>
      </c>
      <c r="W246" s="72">
        <v>45777</v>
      </c>
      <c r="X246" s="72" t="s">
        <v>130</v>
      </c>
      <c r="Y246"/>
      <c r="Z246"/>
      <c r="AA246" t="s">
        <v>131</v>
      </c>
      <c r="AB246" t="s">
        <v>131</v>
      </c>
      <c r="AC246" t="s">
        <v>131</v>
      </c>
      <c r="AD246" t="s">
        <v>131</v>
      </c>
      <c r="AE246" t="s">
        <v>131</v>
      </c>
      <c r="AF246" t="s">
        <v>131</v>
      </c>
      <c r="AG246" t="s">
        <v>131</v>
      </c>
      <c r="AH246" t="s">
        <v>131</v>
      </c>
      <c r="AI246" t="s">
        <v>131</v>
      </c>
      <c r="AJ246">
        <v>0</v>
      </c>
      <c r="AK246" t="s">
        <v>131</v>
      </c>
      <c r="AL246" t="s">
        <v>132</v>
      </c>
      <c r="AM246" s="16">
        <f>IF(OR(AC246="Yes",K246="Info Request", K246="Side-Project"),0,(NETWORKDAYS(T246,U246,Holidays!A$2:A$13))-1)</f>
        <v>0</v>
      </c>
      <c r="AN246" s="16">
        <f>IF(OR(AC246="Yes",K246="Info Request", K246="Side-Project"),0,(NETWORKDAYS(U246,W246,Holidays!A$2:A$13))-1)</f>
        <v>0</v>
      </c>
      <c r="AO246" s="16">
        <f>IF(OR(V246="none"),0,((NETWORKDAYS(S246,V246,Holidays!A$2:A$13))-1))</f>
        <v>0</v>
      </c>
      <c r="AP246" s="16" t="b">
        <f t="shared" si="12"/>
        <v>1</v>
      </c>
      <c r="AQ246" s="16" t="b">
        <f t="shared" si="13"/>
        <v>1</v>
      </c>
      <c r="AR246" s="60" t="str">
        <f t="shared" si="14"/>
        <v>OK</v>
      </c>
      <c r="AS246" s="60" t="str">
        <f>IF(table_data[[#This Row],[Flagged-Issues]] = 0, "", table_data[[#This Row],[Flagged-Issues]])</f>
        <v/>
      </c>
    </row>
    <row r="247" spans="1:45" x14ac:dyDescent="0.25">
      <c r="A247" t="s">
        <v>104</v>
      </c>
      <c r="B247" t="s">
        <v>121</v>
      </c>
      <c r="C247" t="s">
        <v>122</v>
      </c>
      <c r="D247" s="65">
        <v>202504240932</v>
      </c>
      <c r="E247" t="s">
        <v>210</v>
      </c>
      <c r="F247" t="s">
        <v>134</v>
      </c>
      <c r="G247" t="s">
        <v>211</v>
      </c>
      <c r="H247" t="s">
        <v>474</v>
      </c>
      <c r="I247" t="s">
        <v>126</v>
      </c>
      <c r="J247" t="s">
        <v>127</v>
      </c>
      <c r="K247" t="s">
        <v>128</v>
      </c>
      <c r="L247">
        <v>2</v>
      </c>
      <c r="M247" t="s">
        <v>158</v>
      </c>
      <c r="N247">
        <v>8</v>
      </c>
      <c r="O247"/>
      <c r="P247"/>
      <c r="Q247"/>
      <c r="R247"/>
      <c r="S247" s="72">
        <v>45771</v>
      </c>
      <c r="T247" s="72">
        <v>45771</v>
      </c>
      <c r="U247" s="72">
        <v>45771</v>
      </c>
      <c r="V247" s="72" t="s">
        <v>130</v>
      </c>
      <c r="W247" s="72">
        <v>45772</v>
      </c>
      <c r="X247" s="72" t="s">
        <v>130</v>
      </c>
      <c r="Y247" t="s">
        <v>146</v>
      </c>
      <c r="Z247" t="s">
        <v>147</v>
      </c>
      <c r="AA247" t="s">
        <v>131</v>
      </c>
      <c r="AB247" t="s">
        <v>132</v>
      </c>
      <c r="AC247" t="s">
        <v>131</v>
      </c>
      <c r="AD247" t="s">
        <v>132</v>
      </c>
      <c r="AE247" t="s">
        <v>131</v>
      </c>
      <c r="AF247" t="s">
        <v>131</v>
      </c>
      <c r="AG247" t="s">
        <v>131</v>
      </c>
      <c r="AH247" t="s">
        <v>131</v>
      </c>
      <c r="AI247" t="s">
        <v>131</v>
      </c>
      <c r="AJ247">
        <v>0</v>
      </c>
      <c r="AK247" t="s">
        <v>131</v>
      </c>
      <c r="AL247" t="s">
        <v>148</v>
      </c>
      <c r="AM247" s="16">
        <f>IF(OR(AC247="Yes",K247="Info Request", K247="Side-Project"),0,(NETWORKDAYS(T247,U247,Holidays!A$2:A$13))-1)</f>
        <v>0</v>
      </c>
      <c r="AN247" s="16">
        <f>IF(OR(AC247="Yes",K247="Info Request", K247="Side-Project"),0,(NETWORKDAYS(U247,W247,Holidays!A$2:A$13))-1)</f>
        <v>1</v>
      </c>
      <c r="AO247" s="16">
        <f>IF(OR(V247="none"),0,((NETWORKDAYS(S247,V247,Holidays!A$2:A$13))-1))</f>
        <v>0</v>
      </c>
      <c r="AP247" s="16" t="b">
        <f t="shared" si="12"/>
        <v>1</v>
      </c>
      <c r="AQ247" s="16" t="b">
        <f t="shared" si="13"/>
        <v>1</v>
      </c>
      <c r="AR247" s="60" t="str">
        <f t="shared" si="14"/>
        <v>OK</v>
      </c>
      <c r="AS247" s="60" t="str">
        <f>IF(table_data[[#This Row],[Flagged-Issues]] = 0, "", table_data[[#This Row],[Flagged-Issues]])</f>
        <v/>
      </c>
    </row>
    <row r="248" spans="1:45" x14ac:dyDescent="0.25">
      <c r="A248" t="s">
        <v>29</v>
      </c>
      <c r="B248" t="s">
        <v>121</v>
      </c>
      <c r="C248" t="s">
        <v>122</v>
      </c>
      <c r="D248" s="65">
        <v>202504241057</v>
      </c>
      <c r="E248" t="s">
        <v>444</v>
      </c>
      <c r="F248" t="s">
        <v>173</v>
      </c>
      <c r="G248"/>
      <c r="H248" t="s">
        <v>475</v>
      </c>
      <c r="I248" t="s">
        <v>126</v>
      </c>
      <c r="J248" t="s">
        <v>151</v>
      </c>
      <c r="K248" t="s">
        <v>128</v>
      </c>
      <c r="L248">
        <v>2</v>
      </c>
      <c r="M248" t="s">
        <v>141</v>
      </c>
      <c r="N248">
        <v>2</v>
      </c>
      <c r="O248"/>
      <c r="P248"/>
      <c r="Q248"/>
      <c r="R248"/>
      <c r="S248" s="72">
        <v>45771</v>
      </c>
      <c r="T248" s="72">
        <v>45771</v>
      </c>
      <c r="U248" s="72">
        <v>45771</v>
      </c>
      <c r="V248" s="72" t="s">
        <v>130</v>
      </c>
      <c r="W248" s="72">
        <v>45771</v>
      </c>
      <c r="X248" s="72" t="s">
        <v>130</v>
      </c>
      <c r="Y248"/>
      <c r="Z248"/>
      <c r="AA248" t="s">
        <v>131</v>
      </c>
      <c r="AB248" t="s">
        <v>132</v>
      </c>
      <c r="AC248" t="s">
        <v>131</v>
      </c>
      <c r="AD248" t="s">
        <v>131</v>
      </c>
      <c r="AE248" t="s">
        <v>131</v>
      </c>
      <c r="AF248" t="s">
        <v>131</v>
      </c>
      <c r="AG248" t="s">
        <v>131</v>
      </c>
      <c r="AH248" t="s">
        <v>131</v>
      </c>
      <c r="AI248" t="s">
        <v>131</v>
      </c>
      <c r="AJ248">
        <v>0</v>
      </c>
      <c r="AK248" t="s">
        <v>131</v>
      </c>
      <c r="AL248" t="s">
        <v>132</v>
      </c>
      <c r="AM248" s="16">
        <f>IF(OR(AC248="Yes",K248="Info Request", K248="Side-Project"),0,(NETWORKDAYS(T248,U248,Holidays!A$2:A$13))-1)</f>
        <v>0</v>
      </c>
      <c r="AN248" s="16">
        <f>IF(OR(AC248="Yes",K248="Info Request", K248="Side-Project"),0,(NETWORKDAYS(U248,W248,Holidays!A$2:A$13))-1)</f>
        <v>0</v>
      </c>
      <c r="AO248" s="16">
        <f>IF(OR(V248="none"),0,((NETWORKDAYS(S248,V248,Holidays!A$2:A$13))-1))</f>
        <v>0</v>
      </c>
      <c r="AP248" s="16" t="b">
        <f t="shared" si="12"/>
        <v>1</v>
      </c>
      <c r="AQ248" s="16" t="b">
        <f t="shared" si="13"/>
        <v>1</v>
      </c>
      <c r="AR248" s="60" t="str">
        <f t="shared" si="14"/>
        <v>OK</v>
      </c>
      <c r="AS248" s="60" t="str">
        <f>IF(table_data[[#This Row],[Flagged-Issues]] = 0, "", table_data[[#This Row],[Flagged-Issues]])</f>
        <v/>
      </c>
    </row>
    <row r="249" spans="1:45" x14ac:dyDescent="0.25">
      <c r="A249" t="s">
        <v>104</v>
      </c>
      <c r="B249" t="s">
        <v>154</v>
      </c>
      <c r="C249" t="s">
        <v>122</v>
      </c>
      <c r="D249" s="65">
        <v>202503211335</v>
      </c>
      <c r="E249" t="s">
        <v>253</v>
      </c>
      <c r="F249" t="s">
        <v>134</v>
      </c>
      <c r="G249"/>
      <c r="H249" t="s">
        <v>476</v>
      </c>
      <c r="I249" t="s">
        <v>203</v>
      </c>
      <c r="J249" t="s">
        <v>157</v>
      </c>
      <c r="K249" t="s">
        <v>255</v>
      </c>
      <c r="L249">
        <v>2</v>
      </c>
      <c r="M249" t="s">
        <v>189</v>
      </c>
      <c r="N249">
        <v>2</v>
      </c>
      <c r="O249">
        <v>2</v>
      </c>
      <c r="P249"/>
      <c r="Q249"/>
      <c r="R249"/>
      <c r="S249" s="72">
        <v>45737</v>
      </c>
      <c r="T249" s="72">
        <v>45747</v>
      </c>
      <c r="U249" s="72">
        <v>45747</v>
      </c>
      <c r="V249" s="72">
        <v>45748</v>
      </c>
      <c r="W249" s="72">
        <v>45748</v>
      </c>
      <c r="X249" s="72">
        <v>45747</v>
      </c>
      <c r="Y249" t="s">
        <v>146</v>
      </c>
      <c r="Z249" t="s">
        <v>147</v>
      </c>
      <c r="AA249" t="s">
        <v>131</v>
      </c>
      <c r="AB249" t="s">
        <v>131</v>
      </c>
      <c r="AC249" t="s">
        <v>131</v>
      </c>
      <c r="AD249" t="s">
        <v>131</v>
      </c>
      <c r="AE249" t="s">
        <v>131</v>
      </c>
      <c r="AF249" t="s">
        <v>131</v>
      </c>
      <c r="AG249" t="s">
        <v>131</v>
      </c>
      <c r="AH249" t="s">
        <v>131</v>
      </c>
      <c r="AI249" t="s">
        <v>132</v>
      </c>
      <c r="AJ249">
        <v>0</v>
      </c>
      <c r="AK249" t="s">
        <v>132</v>
      </c>
      <c r="AL249" t="s">
        <v>131</v>
      </c>
      <c r="AM249" s="16">
        <f>IF(OR(AC249="Yes",K249="Info Request", K249="Side-Project"),0,(NETWORKDAYS(T249,U249,Holidays!A$2:A$13))-1)</f>
        <v>0</v>
      </c>
      <c r="AN249" s="16">
        <f>IF(OR(AC249="Yes",K249="Info Request", K249="Side-Project"),0,(NETWORKDAYS(U249,W249,Holidays!A$2:A$13))-1)</f>
        <v>1</v>
      </c>
      <c r="AO249" s="16">
        <f>IF(OR(V249="none"),0,((NETWORKDAYS(S249,V249,Holidays!A$2:A$13))-1))</f>
        <v>7</v>
      </c>
      <c r="AP249" s="16" t="b">
        <f t="shared" si="12"/>
        <v>0</v>
      </c>
      <c r="AQ249" s="16" t="b">
        <f t="shared" si="13"/>
        <v>1</v>
      </c>
      <c r="AR249" s="60" t="str">
        <f t="shared" si="14"/>
        <v>OK</v>
      </c>
      <c r="AS249" s="60" t="str">
        <f>IF(table_data[[#This Row],[Flagged-Issues]] = 0, "", table_data[[#This Row],[Flagged-Issues]])</f>
        <v/>
      </c>
    </row>
    <row r="250" spans="1:45" x14ac:dyDescent="0.25">
      <c r="A250" t="s">
        <v>29</v>
      </c>
      <c r="B250" t="s">
        <v>121</v>
      </c>
      <c r="C250" t="s">
        <v>122</v>
      </c>
      <c r="D250" s="65">
        <v>202504091045</v>
      </c>
      <c r="E250" t="s">
        <v>246</v>
      </c>
      <c r="F250" t="s">
        <v>173</v>
      </c>
      <c r="G250"/>
      <c r="H250" t="s">
        <v>477</v>
      </c>
      <c r="I250" t="s">
        <v>126</v>
      </c>
      <c r="J250" t="s">
        <v>145</v>
      </c>
      <c r="K250" t="s">
        <v>128</v>
      </c>
      <c r="L250">
        <v>2</v>
      </c>
      <c r="M250" t="s">
        <v>129</v>
      </c>
      <c r="N250">
        <v>1</v>
      </c>
      <c r="O250"/>
      <c r="P250">
        <v>2</v>
      </c>
      <c r="Q250"/>
      <c r="R250"/>
      <c r="S250" s="72">
        <v>45756</v>
      </c>
      <c r="T250" s="72">
        <v>45756</v>
      </c>
      <c r="U250" s="72">
        <v>45756</v>
      </c>
      <c r="V250" s="72" t="s">
        <v>130</v>
      </c>
      <c r="W250" s="72">
        <v>45756</v>
      </c>
      <c r="X250" s="72" t="s">
        <v>130</v>
      </c>
      <c r="Y250"/>
      <c r="Z250"/>
      <c r="AA250" t="s">
        <v>131</v>
      </c>
      <c r="AB250" t="s">
        <v>132</v>
      </c>
      <c r="AC250" t="s">
        <v>131</v>
      </c>
      <c r="AD250" t="s">
        <v>131</v>
      </c>
      <c r="AE250" t="s">
        <v>131</v>
      </c>
      <c r="AF250" t="s">
        <v>131</v>
      </c>
      <c r="AG250" t="s">
        <v>131</v>
      </c>
      <c r="AH250" t="s">
        <v>131</v>
      </c>
      <c r="AI250" t="s">
        <v>131</v>
      </c>
      <c r="AJ250">
        <v>0</v>
      </c>
      <c r="AK250" t="s">
        <v>131</v>
      </c>
      <c r="AL250" t="s">
        <v>132</v>
      </c>
      <c r="AM250" s="16">
        <f>IF(OR(AC250="Yes",K250="Info Request", K250="Side-Project"),0,(NETWORKDAYS(T250,U250,Holidays!A$2:A$13))-1)</f>
        <v>0</v>
      </c>
      <c r="AN250" s="16">
        <f>IF(OR(AC250="Yes",K250="Info Request", K250="Side-Project"),0,(NETWORKDAYS(U250,W250,Holidays!A$2:A$13))-1)</f>
        <v>0</v>
      </c>
      <c r="AO250" s="16">
        <f>IF(OR(V250="none"),0,((NETWORKDAYS(S250,V250,Holidays!A$2:A$13))-1))</f>
        <v>0</v>
      </c>
      <c r="AP250" s="16" t="b">
        <f t="shared" si="12"/>
        <v>1</v>
      </c>
      <c r="AQ250" s="16" t="b">
        <f t="shared" si="13"/>
        <v>1</v>
      </c>
      <c r="AR250" s="60" t="str">
        <f t="shared" si="14"/>
        <v>OK</v>
      </c>
      <c r="AS250" s="60" t="str">
        <f>IF(table_data[[#This Row],[Flagged-Issues]] = 0, "", table_data[[#This Row],[Flagged-Issues]])</f>
        <v/>
      </c>
    </row>
    <row r="251" spans="1:45" x14ac:dyDescent="0.25">
      <c r="A251" t="s">
        <v>104</v>
      </c>
      <c r="B251" t="s">
        <v>121</v>
      </c>
      <c r="C251" t="s">
        <v>122</v>
      </c>
      <c r="D251" s="65">
        <v>202504071320</v>
      </c>
      <c r="E251" t="s">
        <v>198</v>
      </c>
      <c r="F251" t="s">
        <v>134</v>
      </c>
      <c r="G251" t="s">
        <v>226</v>
      </c>
      <c r="H251" t="s">
        <v>478</v>
      </c>
      <c r="I251" t="s">
        <v>126</v>
      </c>
      <c r="J251" t="s">
        <v>151</v>
      </c>
      <c r="K251" t="s">
        <v>128</v>
      </c>
      <c r="L251">
        <v>2</v>
      </c>
      <c r="M251" t="s">
        <v>421</v>
      </c>
      <c r="N251">
        <v>10</v>
      </c>
      <c r="O251"/>
      <c r="P251"/>
      <c r="Q251"/>
      <c r="R251"/>
      <c r="S251" s="72">
        <v>45754</v>
      </c>
      <c r="T251" s="72">
        <v>45754</v>
      </c>
      <c r="U251" s="72">
        <v>45755</v>
      </c>
      <c r="V251" s="72" t="s">
        <v>130</v>
      </c>
      <c r="W251" s="72">
        <v>45758</v>
      </c>
      <c r="X251" s="72" t="s">
        <v>130</v>
      </c>
      <c r="Y251" t="s">
        <v>146</v>
      </c>
      <c r="Z251" t="s">
        <v>147</v>
      </c>
      <c r="AA251" t="s">
        <v>131</v>
      </c>
      <c r="AB251" t="s">
        <v>131</v>
      </c>
      <c r="AC251" t="s">
        <v>131</v>
      </c>
      <c r="AD251" t="s">
        <v>132</v>
      </c>
      <c r="AE251" t="s">
        <v>132</v>
      </c>
      <c r="AF251" t="s">
        <v>132</v>
      </c>
      <c r="AG251" t="s">
        <v>131</v>
      </c>
      <c r="AH251" t="s">
        <v>131</v>
      </c>
      <c r="AI251" t="s">
        <v>132</v>
      </c>
      <c r="AJ251">
        <v>0</v>
      </c>
      <c r="AK251" t="s">
        <v>131</v>
      </c>
      <c r="AL251" t="s">
        <v>131</v>
      </c>
      <c r="AM251" s="16">
        <f>IF(OR(AC251="Yes",K251="Info Request", K251="Side-Project"),0,(NETWORKDAYS(T251,U251,Holidays!A$2:A$13))-1)</f>
        <v>1</v>
      </c>
      <c r="AN251" s="16">
        <f>IF(OR(AC251="Yes",K251="Info Request", K251="Side-Project"),0,(NETWORKDAYS(U251,W251,Holidays!A$2:A$13))-1)</f>
        <v>3</v>
      </c>
      <c r="AO251" s="16">
        <f>IF(OR(V251="none"),0,((NETWORKDAYS(S251,V251,Holidays!A$2:A$13))-1))</f>
        <v>0</v>
      </c>
      <c r="AP251" s="16" t="b">
        <f t="shared" si="12"/>
        <v>1</v>
      </c>
      <c r="AQ251" s="16" t="b">
        <f t="shared" si="13"/>
        <v>1</v>
      </c>
      <c r="AR251" s="60" t="str">
        <f t="shared" si="14"/>
        <v>OK</v>
      </c>
      <c r="AS251" s="60" t="str">
        <f>IF(table_data[[#This Row],[Flagged-Issues]] = 0, "", table_data[[#This Row],[Flagged-Issues]])</f>
        <v/>
      </c>
    </row>
    <row r="252" spans="1:45" x14ac:dyDescent="0.25">
      <c r="A252" t="s">
        <v>29</v>
      </c>
      <c r="B252" t="s">
        <v>121</v>
      </c>
      <c r="C252" t="s">
        <v>122</v>
      </c>
      <c r="D252" s="65">
        <v>202504141110</v>
      </c>
      <c r="E252" t="s">
        <v>223</v>
      </c>
      <c r="F252" t="s">
        <v>173</v>
      </c>
      <c r="G252"/>
      <c r="H252" t="s">
        <v>479</v>
      </c>
      <c r="I252" t="s">
        <v>126</v>
      </c>
      <c r="J252" t="s">
        <v>151</v>
      </c>
      <c r="K252" t="s">
        <v>128</v>
      </c>
      <c r="L252">
        <v>2</v>
      </c>
      <c r="M252" t="s">
        <v>141</v>
      </c>
      <c r="N252">
        <v>2</v>
      </c>
      <c r="O252"/>
      <c r="P252"/>
      <c r="Q252">
        <v>1</v>
      </c>
      <c r="R252"/>
      <c r="S252" s="72">
        <v>45761</v>
      </c>
      <c r="T252" s="72">
        <v>45761</v>
      </c>
      <c r="U252" s="72">
        <v>45761</v>
      </c>
      <c r="V252" s="72" t="s">
        <v>130</v>
      </c>
      <c r="W252" s="72">
        <v>45761</v>
      </c>
      <c r="X252" s="72" t="s">
        <v>130</v>
      </c>
      <c r="Y252"/>
      <c r="Z252"/>
      <c r="AA252" t="s">
        <v>131</v>
      </c>
      <c r="AB252" t="s">
        <v>132</v>
      </c>
      <c r="AC252" t="s">
        <v>131</v>
      </c>
      <c r="AD252" t="s">
        <v>131</v>
      </c>
      <c r="AE252" t="s">
        <v>131</v>
      </c>
      <c r="AF252" t="s">
        <v>132</v>
      </c>
      <c r="AG252" t="s">
        <v>131</v>
      </c>
      <c r="AH252" t="s">
        <v>131</v>
      </c>
      <c r="AI252" t="s">
        <v>132</v>
      </c>
      <c r="AJ252">
        <v>0</v>
      </c>
      <c r="AK252" t="s">
        <v>131</v>
      </c>
      <c r="AL252" t="s">
        <v>132</v>
      </c>
      <c r="AM252" s="16">
        <f>IF(OR(AC252="Yes",K252="Info Request", K252="Side-Project"),0,(NETWORKDAYS(T252,U252,Holidays!A$2:A$13))-1)</f>
        <v>0</v>
      </c>
      <c r="AN252" s="16">
        <f>IF(OR(AC252="Yes",K252="Info Request", K252="Side-Project"),0,(NETWORKDAYS(U252,W252,Holidays!A$2:A$13))-1)</f>
        <v>0</v>
      </c>
      <c r="AO252" s="16">
        <f>IF(OR(V252="none"),0,((NETWORKDAYS(S252,V252,Holidays!A$2:A$13))-1))</f>
        <v>0</v>
      </c>
      <c r="AP252" s="16" t="b">
        <f t="shared" si="12"/>
        <v>1</v>
      </c>
      <c r="AQ252" s="16" t="b">
        <f t="shared" si="13"/>
        <v>1</v>
      </c>
      <c r="AR252" s="60" t="str">
        <f t="shared" si="14"/>
        <v>OK</v>
      </c>
      <c r="AS252" s="60" t="str">
        <f>IF(table_data[[#This Row],[Flagged-Issues]] = 0, "", table_data[[#This Row],[Flagged-Issues]])</f>
        <v/>
      </c>
    </row>
    <row r="253" spans="1:45" x14ac:dyDescent="0.25">
      <c r="A253" t="s">
        <v>104</v>
      </c>
      <c r="B253" t="s">
        <v>121</v>
      </c>
      <c r="C253" t="s">
        <v>122</v>
      </c>
      <c r="D253" s="65">
        <v>202504231309</v>
      </c>
      <c r="E253" t="s">
        <v>450</v>
      </c>
      <c r="F253" t="s">
        <v>191</v>
      </c>
      <c r="G253"/>
      <c r="H253" t="s">
        <v>480</v>
      </c>
      <c r="I253" t="s">
        <v>126</v>
      </c>
      <c r="J253" t="s">
        <v>136</v>
      </c>
      <c r="K253" t="s">
        <v>128</v>
      </c>
      <c r="L253">
        <v>2</v>
      </c>
      <c r="M253" t="s">
        <v>143</v>
      </c>
      <c r="N253">
        <v>2</v>
      </c>
      <c r="O253"/>
      <c r="P253"/>
      <c r="Q253"/>
      <c r="R253"/>
      <c r="S253" s="72">
        <v>45770</v>
      </c>
      <c r="T253" s="72">
        <v>45771</v>
      </c>
      <c r="U253" s="72">
        <v>45771</v>
      </c>
      <c r="V253" s="72" t="s">
        <v>130</v>
      </c>
      <c r="W253" s="72">
        <v>45772</v>
      </c>
      <c r="X253" s="72" t="s">
        <v>130</v>
      </c>
      <c r="Y253" t="s">
        <v>146</v>
      </c>
      <c r="Z253" t="s">
        <v>147</v>
      </c>
      <c r="AA253" t="s">
        <v>131</v>
      </c>
      <c r="AB253" t="s">
        <v>131</v>
      </c>
      <c r="AC253" t="s">
        <v>131</v>
      </c>
      <c r="AD253" t="s">
        <v>131</v>
      </c>
      <c r="AE253" t="s">
        <v>131</v>
      </c>
      <c r="AF253" t="s">
        <v>131</v>
      </c>
      <c r="AG253" t="s">
        <v>131</v>
      </c>
      <c r="AH253" t="s">
        <v>131</v>
      </c>
      <c r="AI253" t="s">
        <v>131</v>
      </c>
      <c r="AJ253">
        <v>1</v>
      </c>
      <c r="AK253" t="s">
        <v>131</v>
      </c>
      <c r="AL253" t="s">
        <v>148</v>
      </c>
      <c r="AM253" s="16">
        <f>IF(OR(AC253="Yes",K253="Info Request", K253="Side-Project"),0,(NETWORKDAYS(T253,U253,Holidays!A$2:A$13))-1)</f>
        <v>0</v>
      </c>
      <c r="AN253" s="16">
        <f>IF(OR(AC253="Yes",K253="Info Request", K253="Side-Project"),0,(NETWORKDAYS(U253,W253,Holidays!A$2:A$13))-1)</f>
        <v>1</v>
      </c>
      <c r="AO253" s="16">
        <f>IF(OR(V253="none"),0,((NETWORKDAYS(S253,V253,Holidays!A$2:A$13))-1))</f>
        <v>0</v>
      </c>
      <c r="AP253" s="16" t="b">
        <f t="shared" si="12"/>
        <v>1</v>
      </c>
      <c r="AQ253" s="16" t="b">
        <f t="shared" si="13"/>
        <v>1</v>
      </c>
      <c r="AR253" s="60" t="str">
        <f t="shared" si="14"/>
        <v>OK</v>
      </c>
      <c r="AS253" s="60">
        <f>IF(table_data[[#This Row],[Flagged-Issues]] = 0, "", table_data[[#This Row],[Flagged-Issues]])</f>
        <v>1</v>
      </c>
    </row>
    <row r="254" spans="1:45" x14ac:dyDescent="0.25">
      <c r="A254" t="s">
        <v>29</v>
      </c>
      <c r="B254" t="s">
        <v>121</v>
      </c>
      <c r="C254" t="s">
        <v>122</v>
      </c>
      <c r="D254" s="65">
        <v>202504081348</v>
      </c>
      <c r="E254" t="s">
        <v>368</v>
      </c>
      <c r="F254" t="s">
        <v>173</v>
      </c>
      <c r="G254"/>
      <c r="H254" t="s">
        <v>481</v>
      </c>
      <c r="I254" t="s">
        <v>126</v>
      </c>
      <c r="J254" t="s">
        <v>145</v>
      </c>
      <c r="K254" t="s">
        <v>128</v>
      </c>
      <c r="L254">
        <v>2</v>
      </c>
      <c r="M254" t="s">
        <v>129</v>
      </c>
      <c r="N254">
        <v>2</v>
      </c>
      <c r="O254"/>
      <c r="P254"/>
      <c r="Q254"/>
      <c r="R254">
        <v>1</v>
      </c>
      <c r="S254" s="72">
        <v>45755</v>
      </c>
      <c r="T254" s="72">
        <v>45755</v>
      </c>
      <c r="U254" s="72">
        <v>45755</v>
      </c>
      <c r="V254" s="72" t="s">
        <v>130</v>
      </c>
      <c r="W254" s="72">
        <v>45755</v>
      </c>
      <c r="X254" s="72" t="s">
        <v>130</v>
      </c>
      <c r="Y254"/>
      <c r="Z254"/>
      <c r="AA254" t="s">
        <v>131</v>
      </c>
      <c r="AB254" t="s">
        <v>131</v>
      </c>
      <c r="AC254" t="s">
        <v>131</v>
      </c>
      <c r="AD254" t="s">
        <v>131</v>
      </c>
      <c r="AE254" t="s">
        <v>131</v>
      </c>
      <c r="AF254" t="s">
        <v>132</v>
      </c>
      <c r="AG254" t="s">
        <v>131</v>
      </c>
      <c r="AH254" t="s">
        <v>131</v>
      </c>
      <c r="AI254" t="s">
        <v>131</v>
      </c>
      <c r="AJ254">
        <v>0</v>
      </c>
      <c r="AK254" t="s">
        <v>131</v>
      </c>
      <c r="AL254" t="s">
        <v>132</v>
      </c>
      <c r="AM254" s="16">
        <f>IF(OR(AC254="Yes",K254="Info Request", K254="Side-Project"),0,(NETWORKDAYS(T254,U254,Holidays!A$2:A$13))-1)</f>
        <v>0</v>
      </c>
      <c r="AN254" s="16">
        <f>IF(OR(AC254="Yes",K254="Info Request", K254="Side-Project"),0,(NETWORKDAYS(U254,W254,Holidays!A$2:A$13))-1)</f>
        <v>0</v>
      </c>
      <c r="AO254" s="16">
        <f>IF(OR(V254="none"),0,((NETWORKDAYS(S254,V254,Holidays!A$2:A$13))-1))</f>
        <v>0</v>
      </c>
      <c r="AP254" s="16" t="b">
        <f t="shared" si="12"/>
        <v>1</v>
      </c>
      <c r="AQ254" s="16" t="b">
        <f t="shared" si="13"/>
        <v>1</v>
      </c>
      <c r="AR254" s="60" t="str">
        <f t="shared" si="14"/>
        <v>OK</v>
      </c>
      <c r="AS254" s="60" t="str">
        <f>IF(table_data[[#This Row],[Flagged-Issues]] = 0, "", table_data[[#This Row],[Flagged-Issues]])</f>
        <v/>
      </c>
    </row>
    <row r="255" spans="1:45" x14ac:dyDescent="0.25">
      <c r="A255" t="s">
        <v>104</v>
      </c>
      <c r="B255" t="s">
        <v>121</v>
      </c>
      <c r="C255" t="s">
        <v>122</v>
      </c>
      <c r="D255" s="65">
        <v>202504090923</v>
      </c>
      <c r="E255" t="s">
        <v>273</v>
      </c>
      <c r="F255" t="s">
        <v>134</v>
      </c>
      <c r="G255" t="s">
        <v>274</v>
      </c>
      <c r="H255" t="s">
        <v>482</v>
      </c>
      <c r="I255" t="s">
        <v>126</v>
      </c>
      <c r="J255" t="s">
        <v>127</v>
      </c>
      <c r="K255" t="s">
        <v>128</v>
      </c>
      <c r="L255">
        <v>2</v>
      </c>
      <c r="M255" t="s">
        <v>160</v>
      </c>
      <c r="N255">
        <v>4</v>
      </c>
      <c r="O255"/>
      <c r="P255"/>
      <c r="Q255">
        <v>1</v>
      </c>
      <c r="R255"/>
      <c r="S255" s="72">
        <v>45756</v>
      </c>
      <c r="T255" s="72">
        <v>45756</v>
      </c>
      <c r="U255" s="72">
        <v>45756</v>
      </c>
      <c r="V255" s="72" t="s">
        <v>130</v>
      </c>
      <c r="W255" s="72">
        <v>45756</v>
      </c>
      <c r="X255" s="72" t="s">
        <v>130</v>
      </c>
      <c r="Y255" t="s">
        <v>146</v>
      </c>
      <c r="Z255" t="s">
        <v>147</v>
      </c>
      <c r="AA255" t="s">
        <v>131</v>
      </c>
      <c r="AB255" t="s">
        <v>132</v>
      </c>
      <c r="AC255" t="s">
        <v>131</v>
      </c>
      <c r="AD255" t="s">
        <v>131</v>
      </c>
      <c r="AE255" t="s">
        <v>131</v>
      </c>
      <c r="AF255" t="s">
        <v>131</v>
      </c>
      <c r="AG255" t="s">
        <v>131</v>
      </c>
      <c r="AH255" t="s">
        <v>131</v>
      </c>
      <c r="AI255" t="s">
        <v>132</v>
      </c>
      <c r="AJ255">
        <v>0</v>
      </c>
      <c r="AK255" t="s">
        <v>131</v>
      </c>
      <c r="AL255" t="s">
        <v>148</v>
      </c>
      <c r="AM255" s="16">
        <f>IF(OR(AC255="Yes",K255="Info Request", K255="Side-Project"),0,(NETWORKDAYS(T255,U255,Holidays!A$2:A$13))-1)</f>
        <v>0</v>
      </c>
      <c r="AN255" s="16">
        <f>IF(OR(AC255="Yes",K255="Info Request", K255="Side-Project"),0,(NETWORKDAYS(U255,W255,Holidays!A$2:A$13))-1)</f>
        <v>0</v>
      </c>
      <c r="AO255" s="16">
        <f>IF(OR(V255="none"),0,((NETWORKDAYS(S255,V255,Holidays!A$2:A$13))-1))</f>
        <v>0</v>
      </c>
      <c r="AP255" s="16" t="b">
        <f t="shared" si="12"/>
        <v>1</v>
      </c>
      <c r="AQ255" s="16" t="b">
        <f t="shared" si="13"/>
        <v>1</v>
      </c>
      <c r="AR255" s="60" t="str">
        <f t="shared" si="14"/>
        <v>OK</v>
      </c>
      <c r="AS255" s="60" t="str">
        <f>IF(table_data[[#This Row],[Flagged-Issues]] = 0, "", table_data[[#This Row],[Flagged-Issues]])</f>
        <v/>
      </c>
    </row>
    <row r="256" spans="1:45" x14ac:dyDescent="0.25">
      <c r="A256" t="s">
        <v>104</v>
      </c>
      <c r="B256" t="s">
        <v>121</v>
      </c>
      <c r="C256" t="s">
        <v>122</v>
      </c>
      <c r="D256" s="65">
        <v>202504021332</v>
      </c>
      <c r="E256" t="s">
        <v>273</v>
      </c>
      <c r="F256" t="s">
        <v>134</v>
      </c>
      <c r="G256"/>
      <c r="H256" t="s">
        <v>483</v>
      </c>
      <c r="I256" t="s">
        <v>126</v>
      </c>
      <c r="J256" t="s">
        <v>145</v>
      </c>
      <c r="K256" t="s">
        <v>255</v>
      </c>
      <c r="L256">
        <v>2</v>
      </c>
      <c r="M256" t="s">
        <v>175</v>
      </c>
      <c r="N256">
        <v>2</v>
      </c>
      <c r="O256">
        <v>2</v>
      </c>
      <c r="P256"/>
      <c r="Q256"/>
      <c r="R256"/>
      <c r="S256" s="72">
        <v>45749</v>
      </c>
      <c r="T256" s="72">
        <v>45749</v>
      </c>
      <c r="U256" s="72">
        <v>45750</v>
      </c>
      <c r="V256" s="72" t="s">
        <v>130</v>
      </c>
      <c r="W256" s="72">
        <v>45751</v>
      </c>
      <c r="X256" s="72" t="s">
        <v>130</v>
      </c>
      <c r="Y256" t="s">
        <v>146</v>
      </c>
      <c r="Z256" t="s">
        <v>147</v>
      </c>
      <c r="AA256" t="s">
        <v>131</v>
      </c>
      <c r="AB256" t="s">
        <v>132</v>
      </c>
      <c r="AC256" t="s">
        <v>131</v>
      </c>
      <c r="AD256" t="s">
        <v>131</v>
      </c>
      <c r="AE256" t="s">
        <v>131</v>
      </c>
      <c r="AF256" t="s">
        <v>132</v>
      </c>
      <c r="AG256" t="s">
        <v>131</v>
      </c>
      <c r="AH256" t="s">
        <v>131</v>
      </c>
      <c r="AI256" t="s">
        <v>132</v>
      </c>
      <c r="AJ256">
        <v>0</v>
      </c>
      <c r="AK256" t="s">
        <v>131</v>
      </c>
      <c r="AL256" t="s">
        <v>148</v>
      </c>
      <c r="AM256" s="16">
        <f>IF(OR(AC256="Yes",K256="Info Request", K256="Side-Project"),0,(NETWORKDAYS(T256,U256,Holidays!A$2:A$13))-1)</f>
        <v>1</v>
      </c>
      <c r="AN256" s="16">
        <f>IF(OR(AC256="Yes",K256="Info Request", K256="Side-Project"),0,(NETWORKDAYS(U256,W256,Holidays!A$2:A$13))-1)</f>
        <v>1</v>
      </c>
      <c r="AO256" s="16">
        <f>IF(OR(V256="none"),0,((NETWORKDAYS(S256,V256,Holidays!A$2:A$13))-1))</f>
        <v>0</v>
      </c>
      <c r="AP256" s="16" t="b">
        <f t="shared" si="12"/>
        <v>1</v>
      </c>
      <c r="AQ256" s="16" t="b">
        <f t="shared" si="13"/>
        <v>1</v>
      </c>
      <c r="AR256" s="60" t="str">
        <f t="shared" si="14"/>
        <v>OK</v>
      </c>
      <c r="AS256" s="60" t="str">
        <f>IF(table_data[[#This Row],[Flagged-Issues]] = 0, "", table_data[[#This Row],[Flagged-Issues]])</f>
        <v/>
      </c>
    </row>
    <row r="257" spans="1:45" x14ac:dyDescent="0.25">
      <c r="A257" t="s">
        <v>104</v>
      </c>
      <c r="B257" t="s">
        <v>121</v>
      </c>
      <c r="C257" t="s">
        <v>122</v>
      </c>
      <c r="D257" s="65">
        <v>202504031603</v>
      </c>
      <c r="E257" t="s">
        <v>220</v>
      </c>
      <c r="F257" t="s">
        <v>134</v>
      </c>
      <c r="G257"/>
      <c r="H257" t="s">
        <v>484</v>
      </c>
      <c r="I257" t="s">
        <v>126</v>
      </c>
      <c r="J257" t="s">
        <v>136</v>
      </c>
      <c r="K257" t="s">
        <v>128</v>
      </c>
      <c r="L257">
        <v>2</v>
      </c>
      <c r="M257" t="s">
        <v>137</v>
      </c>
      <c r="N257">
        <v>2</v>
      </c>
      <c r="O257"/>
      <c r="P257"/>
      <c r="Q257"/>
      <c r="R257"/>
      <c r="S257" s="72">
        <v>45750</v>
      </c>
      <c r="T257" s="72">
        <v>45751</v>
      </c>
      <c r="U257" s="72">
        <v>45751</v>
      </c>
      <c r="V257" s="72" t="s">
        <v>130</v>
      </c>
      <c r="W257" s="72">
        <v>45751</v>
      </c>
      <c r="X257" s="72" t="s">
        <v>130</v>
      </c>
      <c r="Y257"/>
      <c r="Z257"/>
      <c r="AA257" t="s">
        <v>131</v>
      </c>
      <c r="AB257" t="s">
        <v>132</v>
      </c>
      <c r="AC257" t="s">
        <v>131</v>
      </c>
      <c r="AD257" t="s">
        <v>132</v>
      </c>
      <c r="AE257" t="s">
        <v>131</v>
      </c>
      <c r="AF257" t="s">
        <v>131</v>
      </c>
      <c r="AG257" t="s">
        <v>131</v>
      </c>
      <c r="AH257" t="s">
        <v>131</v>
      </c>
      <c r="AI257" t="s">
        <v>131</v>
      </c>
      <c r="AJ257">
        <v>0</v>
      </c>
      <c r="AK257" t="s">
        <v>131</v>
      </c>
      <c r="AL257" t="s">
        <v>132</v>
      </c>
      <c r="AM257" s="16">
        <f>IF(OR(AC257="Yes",K257="Info Request", K257="Side-Project"),0,(NETWORKDAYS(T257,U257,Holidays!A$2:A$13))-1)</f>
        <v>0</v>
      </c>
      <c r="AN257" s="16">
        <f>IF(OR(AC257="Yes",K257="Info Request", K257="Side-Project"),0,(NETWORKDAYS(U257,W257,Holidays!A$2:A$13))-1)</f>
        <v>0</v>
      </c>
      <c r="AO257" s="16">
        <f>IF(OR(V257="none"),0,((NETWORKDAYS(S257,V257,Holidays!A$2:A$13))-1))</f>
        <v>0</v>
      </c>
      <c r="AP257" s="16" t="b">
        <f t="shared" si="12"/>
        <v>1</v>
      </c>
      <c r="AQ257" s="16" t="b">
        <f t="shared" si="13"/>
        <v>1</v>
      </c>
      <c r="AR257" s="60" t="str">
        <f t="shared" si="14"/>
        <v>OK</v>
      </c>
      <c r="AS257" s="60" t="str">
        <f>IF(table_data[[#This Row],[Flagged-Issues]] = 0, "", table_data[[#This Row],[Flagged-Issues]])</f>
        <v/>
      </c>
    </row>
    <row r="258" spans="1:45" x14ac:dyDescent="0.25">
      <c r="A258" t="s">
        <v>104</v>
      </c>
      <c r="B258" t="s">
        <v>121</v>
      </c>
      <c r="C258" t="s">
        <v>122</v>
      </c>
      <c r="D258" s="65">
        <v>202503280950</v>
      </c>
      <c r="E258" t="s">
        <v>320</v>
      </c>
      <c r="F258" t="s">
        <v>134</v>
      </c>
      <c r="G258" t="s">
        <v>251</v>
      </c>
      <c r="H258" t="s">
        <v>485</v>
      </c>
      <c r="I258" t="s">
        <v>126</v>
      </c>
      <c r="J258" t="s">
        <v>127</v>
      </c>
      <c r="K258" t="s">
        <v>255</v>
      </c>
      <c r="L258">
        <v>2</v>
      </c>
      <c r="M258" t="s">
        <v>160</v>
      </c>
      <c r="N258">
        <v>8</v>
      </c>
      <c r="O258"/>
      <c r="P258"/>
      <c r="Q258"/>
      <c r="R258"/>
      <c r="S258" s="72">
        <v>45744</v>
      </c>
      <c r="T258" s="72">
        <v>45747</v>
      </c>
      <c r="U258" s="72">
        <v>45747</v>
      </c>
      <c r="V258" s="72" t="s">
        <v>130</v>
      </c>
      <c r="W258" s="72">
        <v>45748</v>
      </c>
      <c r="X258" s="72" t="s">
        <v>130</v>
      </c>
      <c r="Y258" t="s">
        <v>146</v>
      </c>
      <c r="Z258" t="s">
        <v>147</v>
      </c>
      <c r="AA258" t="s">
        <v>131</v>
      </c>
      <c r="AB258" t="s">
        <v>132</v>
      </c>
      <c r="AC258" t="s">
        <v>131</v>
      </c>
      <c r="AD258" t="s">
        <v>132</v>
      </c>
      <c r="AE258" t="s">
        <v>132</v>
      </c>
      <c r="AF258" t="s">
        <v>131</v>
      </c>
      <c r="AG258" t="s">
        <v>131</v>
      </c>
      <c r="AH258" t="s">
        <v>131</v>
      </c>
      <c r="AI258" t="s">
        <v>132</v>
      </c>
      <c r="AJ258">
        <v>0</v>
      </c>
      <c r="AK258" t="s">
        <v>131</v>
      </c>
      <c r="AL258" t="s">
        <v>148</v>
      </c>
      <c r="AM258" s="16">
        <f>IF(OR(AC258="Yes",K258="Info Request", K258="Side-Project"),0,(NETWORKDAYS(T258,U258,Holidays!A$2:A$13))-1)</f>
        <v>0</v>
      </c>
      <c r="AN258" s="16">
        <f>IF(OR(AC258="Yes",K258="Info Request", K258="Side-Project"),0,(NETWORKDAYS(U258,W258,Holidays!A$2:A$13))-1)</f>
        <v>1</v>
      </c>
      <c r="AO258" s="16">
        <f>IF(OR(V258="none"),0,((NETWORKDAYS(S258,V258,Holidays!A$2:A$13))-1))</f>
        <v>0</v>
      </c>
      <c r="AP258" s="16" t="b">
        <f t="shared" si="12"/>
        <v>1</v>
      </c>
      <c r="AQ258" s="16" t="b">
        <f t="shared" si="13"/>
        <v>1</v>
      </c>
      <c r="AR258" s="60" t="str">
        <f t="shared" si="14"/>
        <v>OK</v>
      </c>
      <c r="AS258" s="60" t="str">
        <f>IF(table_data[[#This Row],[Flagged-Issues]] = 0, "", table_data[[#This Row],[Flagged-Issues]])</f>
        <v/>
      </c>
    </row>
    <row r="259" spans="1:45" x14ac:dyDescent="0.25">
      <c r="A259" t="s">
        <v>29</v>
      </c>
      <c r="B259" t="s">
        <v>121</v>
      </c>
      <c r="C259" t="s">
        <v>122</v>
      </c>
      <c r="D259" s="65">
        <v>202504081022</v>
      </c>
      <c r="E259" t="s">
        <v>323</v>
      </c>
      <c r="F259" t="s">
        <v>173</v>
      </c>
      <c r="G259"/>
      <c r="H259" t="s">
        <v>486</v>
      </c>
      <c r="I259" t="s">
        <v>126</v>
      </c>
      <c r="J259" t="s">
        <v>145</v>
      </c>
      <c r="K259" t="s">
        <v>128</v>
      </c>
      <c r="L259">
        <v>2</v>
      </c>
      <c r="M259" t="s">
        <v>189</v>
      </c>
      <c r="N259">
        <v>2</v>
      </c>
      <c r="O259">
        <v>2</v>
      </c>
      <c r="P259"/>
      <c r="Q259"/>
      <c r="R259"/>
      <c r="S259" s="72">
        <v>45755</v>
      </c>
      <c r="T259" s="72">
        <v>45755</v>
      </c>
      <c r="U259" s="72">
        <v>45755</v>
      </c>
      <c r="V259" s="72" t="s">
        <v>130</v>
      </c>
      <c r="W259" s="72">
        <v>45756</v>
      </c>
      <c r="X259" s="72" t="s">
        <v>130</v>
      </c>
      <c r="Y259"/>
      <c r="Z259"/>
      <c r="AA259" t="s">
        <v>131</v>
      </c>
      <c r="AB259" t="s">
        <v>132</v>
      </c>
      <c r="AC259" t="s">
        <v>131</v>
      </c>
      <c r="AD259" t="s">
        <v>131</v>
      </c>
      <c r="AE259" t="s">
        <v>131</v>
      </c>
      <c r="AF259" t="s">
        <v>131</v>
      </c>
      <c r="AG259" t="s">
        <v>131</v>
      </c>
      <c r="AH259" t="s">
        <v>131</v>
      </c>
      <c r="AI259" t="s">
        <v>132</v>
      </c>
      <c r="AJ259">
        <v>0</v>
      </c>
      <c r="AK259" t="s">
        <v>131</v>
      </c>
      <c r="AL259" t="s">
        <v>132</v>
      </c>
      <c r="AM259" s="16">
        <f>IF(OR(AC259="Yes",K259="Info Request", K259="Side-Project"),0,(NETWORKDAYS(T259,U259,Holidays!A$2:A$13))-1)</f>
        <v>0</v>
      </c>
      <c r="AN259" s="16">
        <f>IF(OR(AC259="Yes",K259="Info Request", K259="Side-Project"),0,(NETWORKDAYS(U259,W259,Holidays!A$2:A$13))-1)</f>
        <v>1</v>
      </c>
      <c r="AO259" s="16">
        <f>IF(OR(V259="none"),0,((NETWORKDAYS(S259,V259,Holidays!A$2:A$13))-1))</f>
        <v>0</v>
      </c>
      <c r="AP259" s="16" t="b">
        <f t="shared" ref="AP259:AP292" si="15">OR(AO259&lt;=L259)</f>
        <v>1</v>
      </c>
      <c r="AQ259" s="16" t="b">
        <f t="shared" ref="AQ259:AQ292" si="16">OR(AM259&lt;=L259)</f>
        <v>1</v>
      </c>
      <c r="AR259" s="60" t="str">
        <f t="shared" ref="AR259:AR292" si="17">IF(AJ259 &gt; (N259 + O259), "too many URLs", "OK")</f>
        <v>OK</v>
      </c>
      <c r="AS259" s="60" t="str">
        <f>IF(table_data[[#This Row],[Flagged-Issues]] = 0, "", table_data[[#This Row],[Flagged-Issues]])</f>
        <v/>
      </c>
    </row>
    <row r="260" spans="1:45" x14ac:dyDescent="0.25">
      <c r="A260" t="s">
        <v>29</v>
      </c>
      <c r="B260" t="s">
        <v>121</v>
      </c>
      <c r="C260" t="s">
        <v>122</v>
      </c>
      <c r="D260" s="65">
        <v>202504140925</v>
      </c>
      <c r="E260" t="s">
        <v>330</v>
      </c>
      <c r="F260" t="s">
        <v>173</v>
      </c>
      <c r="G260"/>
      <c r="H260" t="s">
        <v>487</v>
      </c>
      <c r="I260" t="s">
        <v>126</v>
      </c>
      <c r="J260" t="s">
        <v>136</v>
      </c>
      <c r="K260" t="s">
        <v>207</v>
      </c>
      <c r="L260">
        <v>2</v>
      </c>
      <c r="M260" t="s">
        <v>137</v>
      </c>
      <c r="N260"/>
      <c r="O260"/>
      <c r="P260"/>
      <c r="Q260"/>
      <c r="R260">
        <v>1</v>
      </c>
      <c r="S260" s="72">
        <v>45761</v>
      </c>
      <c r="T260" s="72">
        <v>45761</v>
      </c>
      <c r="U260" s="72">
        <v>45761</v>
      </c>
      <c r="V260" s="72" t="s">
        <v>130</v>
      </c>
      <c r="W260" s="72">
        <v>45761</v>
      </c>
      <c r="X260" s="72" t="s">
        <v>130</v>
      </c>
      <c r="Y260"/>
      <c r="Z260"/>
      <c r="AA260" t="s">
        <v>131</v>
      </c>
      <c r="AB260" t="s">
        <v>132</v>
      </c>
      <c r="AC260" t="s">
        <v>131</v>
      </c>
      <c r="AD260" t="s">
        <v>131</v>
      </c>
      <c r="AE260" t="s">
        <v>131</v>
      </c>
      <c r="AF260" t="s">
        <v>131</v>
      </c>
      <c r="AG260" t="s">
        <v>131</v>
      </c>
      <c r="AH260" t="s">
        <v>131</v>
      </c>
      <c r="AI260" t="s">
        <v>131</v>
      </c>
      <c r="AJ260">
        <v>0</v>
      </c>
      <c r="AK260" t="s">
        <v>131</v>
      </c>
      <c r="AL260" t="s">
        <v>132</v>
      </c>
      <c r="AM260" s="16">
        <f>IF(OR(AC260="Yes",K260="Info Request", K260="Side-Project"),0,(NETWORKDAYS(T260,U260,Holidays!A$2:A$13))-1)</f>
        <v>0</v>
      </c>
      <c r="AN260" s="16">
        <f>IF(OR(AC260="Yes",K260="Info Request", K260="Side-Project"),0,(NETWORKDAYS(U260,W260,Holidays!A$2:A$13))-1)</f>
        <v>0</v>
      </c>
      <c r="AO260" s="16">
        <f>IF(OR(V260="none"),0,((NETWORKDAYS(S260,V260,Holidays!A$2:A$13))-1))</f>
        <v>0</v>
      </c>
      <c r="AP260" s="16" t="b">
        <f t="shared" si="15"/>
        <v>1</v>
      </c>
      <c r="AQ260" s="16" t="b">
        <f t="shared" si="16"/>
        <v>1</v>
      </c>
      <c r="AR260" s="60" t="str">
        <f t="shared" si="17"/>
        <v>OK</v>
      </c>
      <c r="AS260" s="60" t="str">
        <f>IF(table_data[[#This Row],[Flagged-Issues]] = 0, "", table_data[[#This Row],[Flagged-Issues]])</f>
        <v/>
      </c>
    </row>
    <row r="261" spans="1:45" x14ac:dyDescent="0.25">
      <c r="A261" t="s">
        <v>29</v>
      </c>
      <c r="B261" t="s">
        <v>154</v>
      </c>
      <c r="C261" t="s">
        <v>122</v>
      </c>
      <c r="D261" s="65">
        <v>202504081321</v>
      </c>
      <c r="E261" t="s">
        <v>223</v>
      </c>
      <c r="F261" t="s">
        <v>173</v>
      </c>
      <c r="G261"/>
      <c r="H261" t="s">
        <v>488</v>
      </c>
      <c r="I261" t="s">
        <v>126</v>
      </c>
      <c r="J261" t="s">
        <v>127</v>
      </c>
      <c r="K261" t="s">
        <v>128</v>
      </c>
      <c r="L261">
        <v>2</v>
      </c>
      <c r="M261" t="s">
        <v>143</v>
      </c>
      <c r="N261">
        <v>2</v>
      </c>
      <c r="O261"/>
      <c r="P261"/>
      <c r="Q261"/>
      <c r="R261">
        <v>4</v>
      </c>
      <c r="S261" s="72">
        <v>45755</v>
      </c>
      <c r="T261" s="72">
        <v>45757</v>
      </c>
      <c r="U261" s="72">
        <v>45757</v>
      </c>
      <c r="V261" s="72" t="s">
        <v>130</v>
      </c>
      <c r="W261" s="72">
        <v>45758</v>
      </c>
      <c r="X261" s="72" t="s">
        <v>130</v>
      </c>
      <c r="Y261"/>
      <c r="Z261"/>
      <c r="AA261" t="s">
        <v>131</v>
      </c>
      <c r="AB261" t="s">
        <v>131</v>
      </c>
      <c r="AC261" t="s">
        <v>131</v>
      </c>
      <c r="AD261" t="s">
        <v>131</v>
      </c>
      <c r="AE261" t="s">
        <v>131</v>
      </c>
      <c r="AF261" t="s">
        <v>131</v>
      </c>
      <c r="AG261" t="s">
        <v>131</v>
      </c>
      <c r="AH261" t="s">
        <v>131</v>
      </c>
      <c r="AI261" t="s">
        <v>131</v>
      </c>
      <c r="AJ261">
        <v>0</v>
      </c>
      <c r="AK261" t="s">
        <v>131</v>
      </c>
      <c r="AL261" t="s">
        <v>132</v>
      </c>
      <c r="AM261" s="16">
        <f>IF(OR(AC261="Yes",K261="Info Request", K261="Side-Project"),0,(NETWORKDAYS(T261,U261,Holidays!A$2:A$13))-1)</f>
        <v>0</v>
      </c>
      <c r="AN261" s="16">
        <f>IF(OR(AC261="Yes",K261="Info Request", K261="Side-Project"),0,(NETWORKDAYS(U261,W261,Holidays!A$2:A$13))-1)</f>
        <v>1</v>
      </c>
      <c r="AO261" s="16">
        <f>IF(OR(V261="none"),0,((NETWORKDAYS(S261,V261,Holidays!A$2:A$13))-1))</f>
        <v>0</v>
      </c>
      <c r="AP261" s="16" t="b">
        <f t="shared" si="15"/>
        <v>1</v>
      </c>
      <c r="AQ261" s="16" t="b">
        <f t="shared" si="16"/>
        <v>1</v>
      </c>
      <c r="AR261" s="60" t="str">
        <f t="shared" si="17"/>
        <v>OK</v>
      </c>
      <c r="AS261" s="60" t="str">
        <f>IF(table_data[[#This Row],[Flagged-Issues]] = 0, "", table_data[[#This Row],[Flagged-Issues]])</f>
        <v/>
      </c>
    </row>
    <row r="262" spans="1:45" x14ac:dyDescent="0.25">
      <c r="A262" t="s">
        <v>29</v>
      </c>
      <c r="B262" t="s">
        <v>154</v>
      </c>
      <c r="C262" t="s">
        <v>122</v>
      </c>
      <c r="D262" s="65">
        <v>202504161128</v>
      </c>
      <c r="E262" t="s">
        <v>236</v>
      </c>
      <c r="F262" t="s">
        <v>139</v>
      </c>
      <c r="G262"/>
      <c r="H262" t="s">
        <v>489</v>
      </c>
      <c r="I262" t="s">
        <v>126</v>
      </c>
      <c r="J262" t="s">
        <v>145</v>
      </c>
      <c r="K262" t="s">
        <v>128</v>
      </c>
      <c r="L262">
        <v>2</v>
      </c>
      <c r="M262" t="s">
        <v>158</v>
      </c>
      <c r="N262">
        <v>2</v>
      </c>
      <c r="O262">
        <v>2</v>
      </c>
      <c r="P262"/>
      <c r="Q262"/>
      <c r="R262"/>
      <c r="S262" s="72">
        <v>45763</v>
      </c>
      <c r="T262" s="72">
        <v>45764</v>
      </c>
      <c r="U262" s="72">
        <v>45764</v>
      </c>
      <c r="V262" s="72" t="s">
        <v>130</v>
      </c>
      <c r="W262" s="72">
        <v>45772</v>
      </c>
      <c r="X262" s="72" t="s">
        <v>130</v>
      </c>
      <c r="Y262"/>
      <c r="Z262"/>
      <c r="AA262" t="s">
        <v>131</v>
      </c>
      <c r="AB262" t="s">
        <v>131</v>
      </c>
      <c r="AC262" t="s">
        <v>131</v>
      </c>
      <c r="AD262" t="s">
        <v>132</v>
      </c>
      <c r="AE262" t="s">
        <v>132</v>
      </c>
      <c r="AF262" t="s">
        <v>131</v>
      </c>
      <c r="AG262" t="s">
        <v>131</v>
      </c>
      <c r="AH262" t="s">
        <v>131</v>
      </c>
      <c r="AI262" t="s">
        <v>132</v>
      </c>
      <c r="AJ262">
        <v>0</v>
      </c>
      <c r="AK262" t="s">
        <v>131</v>
      </c>
      <c r="AL262" t="s">
        <v>132</v>
      </c>
      <c r="AM262" s="16">
        <f>IF(OR(AC262="Yes",K262="Info Request", K262="Side-Project"),0,(NETWORKDAYS(T262,U262,Holidays!A$2:A$13))-1)</f>
        <v>0</v>
      </c>
      <c r="AN262" s="16">
        <f>IF(OR(AC262="Yes",K262="Info Request", K262="Side-Project"),0,(NETWORKDAYS(U262,W262,Holidays!A$2:A$13))-1)</f>
        <v>4</v>
      </c>
      <c r="AO262" s="16">
        <f>IF(OR(V262="none"),0,((NETWORKDAYS(S262,V262,Holidays!A$2:A$13))-1))</f>
        <v>0</v>
      </c>
      <c r="AP262" s="16" t="b">
        <f t="shared" si="15"/>
        <v>1</v>
      </c>
      <c r="AQ262" s="16" t="b">
        <f t="shared" si="16"/>
        <v>1</v>
      </c>
      <c r="AR262" s="60" t="str">
        <f t="shared" si="17"/>
        <v>OK</v>
      </c>
      <c r="AS262" s="60" t="str">
        <f>IF(table_data[[#This Row],[Flagged-Issues]] = 0, "", table_data[[#This Row],[Flagged-Issues]])</f>
        <v/>
      </c>
    </row>
    <row r="263" spans="1:45" x14ac:dyDescent="0.25">
      <c r="A263" t="s">
        <v>29</v>
      </c>
      <c r="B263" t="s">
        <v>154</v>
      </c>
      <c r="C263" t="s">
        <v>122</v>
      </c>
      <c r="D263" s="65">
        <v>202504171512</v>
      </c>
      <c r="E263" t="s">
        <v>347</v>
      </c>
      <c r="F263" t="s">
        <v>173</v>
      </c>
      <c r="G263"/>
      <c r="H263" t="s">
        <v>490</v>
      </c>
      <c r="I263" t="s">
        <v>126</v>
      </c>
      <c r="J263" t="s">
        <v>167</v>
      </c>
      <c r="K263" t="s">
        <v>128</v>
      </c>
      <c r="L263">
        <v>3</v>
      </c>
      <c r="M263" t="s">
        <v>421</v>
      </c>
      <c r="N263">
        <v>36</v>
      </c>
      <c r="O263">
        <v>2</v>
      </c>
      <c r="P263"/>
      <c r="Q263"/>
      <c r="R263"/>
      <c r="S263" s="72">
        <v>45764</v>
      </c>
      <c r="T263" s="72">
        <v>45771</v>
      </c>
      <c r="U263" s="72">
        <v>45771</v>
      </c>
      <c r="V263" s="72" t="s">
        <v>130</v>
      </c>
      <c r="W263" s="72">
        <v>45772</v>
      </c>
      <c r="X263" s="72" t="s">
        <v>130</v>
      </c>
      <c r="Y263" t="s">
        <v>153</v>
      </c>
      <c r="Z263" t="s">
        <v>147</v>
      </c>
      <c r="AA263" t="s">
        <v>131</v>
      </c>
      <c r="AB263" t="s">
        <v>131</v>
      </c>
      <c r="AC263" t="s">
        <v>131</v>
      </c>
      <c r="AD263" t="s">
        <v>131</v>
      </c>
      <c r="AE263" t="s">
        <v>131</v>
      </c>
      <c r="AF263" t="s">
        <v>131</v>
      </c>
      <c r="AG263" t="s">
        <v>131</v>
      </c>
      <c r="AH263" t="s">
        <v>131</v>
      </c>
      <c r="AI263" t="s">
        <v>132</v>
      </c>
      <c r="AJ263">
        <v>0</v>
      </c>
      <c r="AK263" t="s">
        <v>131</v>
      </c>
      <c r="AL263" t="s">
        <v>148</v>
      </c>
      <c r="AM263" s="16">
        <f>IF(OR(AC263="Yes",K263="Info Request", K263="Side-Project"),0,(NETWORKDAYS(T263,U263,Holidays!A$2:A$13))-1)</f>
        <v>0</v>
      </c>
      <c r="AN263" s="16">
        <f>IF(OR(AC263="Yes",K263="Info Request", K263="Side-Project"),0,(NETWORKDAYS(U263,W263,Holidays!A$2:A$13))-1)</f>
        <v>1</v>
      </c>
      <c r="AO263" s="16">
        <f>IF(OR(V263="none"),0,((NETWORKDAYS(S263,V263,Holidays!A$2:A$13))-1))</f>
        <v>0</v>
      </c>
      <c r="AP263" s="16" t="b">
        <f t="shared" si="15"/>
        <v>1</v>
      </c>
      <c r="AQ263" s="16" t="b">
        <f t="shared" si="16"/>
        <v>1</v>
      </c>
      <c r="AR263" s="60" t="str">
        <f t="shared" si="17"/>
        <v>OK</v>
      </c>
      <c r="AS263" s="60" t="str">
        <f>IF(table_data[[#This Row],[Flagged-Issues]] = 0, "", table_data[[#This Row],[Flagged-Issues]])</f>
        <v/>
      </c>
    </row>
    <row r="264" spans="1:45" x14ac:dyDescent="0.25">
      <c r="A264" t="s">
        <v>29</v>
      </c>
      <c r="B264" t="s">
        <v>154</v>
      </c>
      <c r="C264" t="s">
        <v>122</v>
      </c>
      <c r="D264" s="65">
        <v>202504241455</v>
      </c>
      <c r="E264" t="s">
        <v>223</v>
      </c>
      <c r="F264" t="s">
        <v>173</v>
      </c>
      <c r="G264"/>
      <c r="H264" t="s">
        <v>491</v>
      </c>
      <c r="I264" t="s">
        <v>126</v>
      </c>
      <c r="J264" t="s">
        <v>151</v>
      </c>
      <c r="K264" t="s">
        <v>128</v>
      </c>
      <c r="L264">
        <v>2</v>
      </c>
      <c r="M264" t="s">
        <v>189</v>
      </c>
      <c r="N264">
        <v>2</v>
      </c>
      <c r="O264"/>
      <c r="P264"/>
      <c r="Q264"/>
      <c r="R264">
        <v>4</v>
      </c>
      <c r="S264" s="72">
        <v>45771</v>
      </c>
      <c r="T264" s="72">
        <v>45772</v>
      </c>
      <c r="U264" s="72">
        <v>45772</v>
      </c>
      <c r="V264" s="72" t="s">
        <v>130</v>
      </c>
      <c r="W264" s="72">
        <v>45775</v>
      </c>
      <c r="X264" s="72" t="s">
        <v>130</v>
      </c>
      <c r="Y264"/>
      <c r="Z264"/>
      <c r="AA264" t="s">
        <v>131</v>
      </c>
      <c r="AB264" t="s">
        <v>131</v>
      </c>
      <c r="AC264" t="s">
        <v>131</v>
      </c>
      <c r="AD264" t="s">
        <v>131</v>
      </c>
      <c r="AE264" t="s">
        <v>131</v>
      </c>
      <c r="AF264" t="s">
        <v>131</v>
      </c>
      <c r="AG264" t="s">
        <v>131</v>
      </c>
      <c r="AH264" t="s">
        <v>131</v>
      </c>
      <c r="AI264" t="s">
        <v>131</v>
      </c>
      <c r="AJ264">
        <v>0</v>
      </c>
      <c r="AK264" t="s">
        <v>131</v>
      </c>
      <c r="AL264" t="s">
        <v>132</v>
      </c>
      <c r="AM264" s="16">
        <f>IF(OR(AC264="Yes",K264="Info Request", K264="Side-Project"),0,(NETWORKDAYS(T264,U264,Holidays!A$2:A$13))-1)</f>
        <v>0</v>
      </c>
      <c r="AN264" s="16">
        <f>IF(OR(AC264="Yes",K264="Info Request", K264="Side-Project"),0,(NETWORKDAYS(U264,W264,Holidays!A$2:A$13))-1)</f>
        <v>1</v>
      </c>
      <c r="AO264" s="16">
        <f>IF(OR(V264="none"),0,((NETWORKDAYS(S264,V264,Holidays!A$2:A$13))-1))</f>
        <v>0</v>
      </c>
      <c r="AP264" s="16" t="b">
        <f t="shared" si="15"/>
        <v>1</v>
      </c>
      <c r="AQ264" s="16" t="b">
        <f t="shared" si="16"/>
        <v>1</v>
      </c>
      <c r="AR264" s="60" t="str">
        <f t="shared" si="17"/>
        <v>OK</v>
      </c>
      <c r="AS264" s="60" t="str">
        <f>IF(table_data[[#This Row],[Flagged-Issues]] = 0, "", table_data[[#This Row],[Flagged-Issues]])</f>
        <v/>
      </c>
    </row>
    <row r="265" spans="1:45" x14ac:dyDescent="0.25">
      <c r="A265" t="s">
        <v>29</v>
      </c>
      <c r="B265" t="s">
        <v>154</v>
      </c>
      <c r="C265" t="s">
        <v>122</v>
      </c>
      <c r="D265" s="65">
        <v>202503310931</v>
      </c>
      <c r="E265" t="s">
        <v>290</v>
      </c>
      <c r="F265" t="s">
        <v>139</v>
      </c>
      <c r="G265"/>
      <c r="H265" t="s">
        <v>492</v>
      </c>
      <c r="I265" t="s">
        <v>126</v>
      </c>
      <c r="J265" t="s">
        <v>157</v>
      </c>
      <c r="K265" t="s">
        <v>128</v>
      </c>
      <c r="L265">
        <v>3</v>
      </c>
      <c r="M265" t="s">
        <v>175</v>
      </c>
      <c r="N265">
        <v>10</v>
      </c>
      <c r="O265">
        <v>4</v>
      </c>
      <c r="P265"/>
      <c r="Q265"/>
      <c r="R265"/>
      <c r="S265" s="72">
        <v>45747</v>
      </c>
      <c r="T265" s="72">
        <v>45749</v>
      </c>
      <c r="U265" s="72">
        <v>45749</v>
      </c>
      <c r="V265" s="72" t="s">
        <v>130</v>
      </c>
      <c r="W265" s="72">
        <v>45755</v>
      </c>
      <c r="X265" s="72" t="s">
        <v>130</v>
      </c>
      <c r="Y265" t="s">
        <v>146</v>
      </c>
      <c r="Z265" t="s">
        <v>147</v>
      </c>
      <c r="AA265" t="s">
        <v>131</v>
      </c>
      <c r="AB265" t="s">
        <v>131</v>
      </c>
      <c r="AC265" t="s">
        <v>131</v>
      </c>
      <c r="AD265" t="s">
        <v>132</v>
      </c>
      <c r="AE265" t="s">
        <v>131</v>
      </c>
      <c r="AF265" t="s">
        <v>131</v>
      </c>
      <c r="AG265" t="s">
        <v>131</v>
      </c>
      <c r="AH265" t="s">
        <v>131</v>
      </c>
      <c r="AI265" t="s">
        <v>131</v>
      </c>
      <c r="AJ265">
        <v>0</v>
      </c>
      <c r="AK265" t="s">
        <v>131</v>
      </c>
      <c r="AL265" t="s">
        <v>148</v>
      </c>
      <c r="AM265" s="16">
        <f>IF(OR(AC265="Yes",K265="Info Request", K265="Side-Project"),0,(NETWORKDAYS(T265,U265,Holidays!A$2:A$13))-1)</f>
        <v>0</v>
      </c>
      <c r="AN265" s="16">
        <f>IF(OR(AC265="Yes",K265="Info Request", K265="Side-Project"),0,(NETWORKDAYS(U265,W265,Holidays!A$2:A$13))-1)</f>
        <v>4</v>
      </c>
      <c r="AO265" s="16">
        <f>IF(OR(V265="none"),0,((NETWORKDAYS(S265,V265,Holidays!A$2:A$13))-1))</f>
        <v>0</v>
      </c>
      <c r="AP265" s="16" t="b">
        <f t="shared" si="15"/>
        <v>1</v>
      </c>
      <c r="AQ265" s="16" t="b">
        <f t="shared" si="16"/>
        <v>1</v>
      </c>
      <c r="AR265" s="60" t="str">
        <f t="shared" si="17"/>
        <v>OK</v>
      </c>
      <c r="AS265" s="60" t="str">
        <f>IF(table_data[[#This Row],[Flagged-Issues]] = 0, "", table_data[[#This Row],[Flagged-Issues]])</f>
        <v/>
      </c>
    </row>
    <row r="266" spans="1:45" x14ac:dyDescent="0.25">
      <c r="A266" t="s">
        <v>289</v>
      </c>
      <c r="B266" t="s">
        <v>154</v>
      </c>
      <c r="C266" t="s">
        <v>122</v>
      </c>
      <c r="D266" s="65">
        <v>202504021542</v>
      </c>
      <c r="E266" t="s">
        <v>290</v>
      </c>
      <c r="F266" t="s">
        <v>139</v>
      </c>
      <c r="G266"/>
      <c r="H266" t="s">
        <v>493</v>
      </c>
      <c r="I266" t="s">
        <v>126</v>
      </c>
      <c r="J266" t="s">
        <v>127</v>
      </c>
      <c r="K266" t="s">
        <v>128</v>
      </c>
      <c r="L266">
        <v>3</v>
      </c>
      <c r="M266" t="s">
        <v>421</v>
      </c>
      <c r="N266">
        <v>4</v>
      </c>
      <c r="O266">
        <v>2</v>
      </c>
      <c r="P266"/>
      <c r="Q266"/>
      <c r="R266"/>
      <c r="S266" s="72">
        <v>45749</v>
      </c>
      <c r="T266" s="72">
        <v>45751</v>
      </c>
      <c r="U266" s="72">
        <v>45755</v>
      </c>
      <c r="V266" s="72" t="s">
        <v>130</v>
      </c>
      <c r="W266" s="72">
        <v>45758</v>
      </c>
      <c r="X266" s="72" t="s">
        <v>130</v>
      </c>
      <c r="Y266" t="s">
        <v>146</v>
      </c>
      <c r="Z266" t="s">
        <v>147</v>
      </c>
      <c r="AA266" t="s">
        <v>131</v>
      </c>
      <c r="AB266" t="s">
        <v>131</v>
      </c>
      <c r="AC266" t="s">
        <v>131</v>
      </c>
      <c r="AD266" t="s">
        <v>132</v>
      </c>
      <c r="AE266" t="s">
        <v>131</v>
      </c>
      <c r="AF266" t="s">
        <v>131</v>
      </c>
      <c r="AG266" t="s">
        <v>132</v>
      </c>
      <c r="AH266" t="s">
        <v>131</v>
      </c>
      <c r="AI266" t="s">
        <v>132</v>
      </c>
      <c r="AJ266">
        <v>0</v>
      </c>
      <c r="AK266" t="s">
        <v>131</v>
      </c>
      <c r="AL266" t="s">
        <v>148</v>
      </c>
      <c r="AM266" s="16">
        <f>IF(OR(AC266="Yes",K266="Info Request", K266="Side-Project"),0,(NETWORKDAYS(T266,U266,Holidays!A$2:A$13))-1)</f>
        <v>2</v>
      </c>
      <c r="AN266" s="16">
        <f>IF(OR(AC266="Yes",K266="Info Request", K266="Side-Project"),0,(NETWORKDAYS(U266,W266,Holidays!A$2:A$13))-1)</f>
        <v>3</v>
      </c>
      <c r="AO266" s="16">
        <f>IF(OR(V266="none"),0,((NETWORKDAYS(S266,V266,Holidays!A$2:A$13))-1))</f>
        <v>0</v>
      </c>
      <c r="AP266" s="16" t="b">
        <f t="shared" si="15"/>
        <v>1</v>
      </c>
      <c r="AQ266" s="16" t="b">
        <f t="shared" si="16"/>
        <v>1</v>
      </c>
      <c r="AR266" s="60" t="str">
        <f t="shared" si="17"/>
        <v>OK</v>
      </c>
      <c r="AS266" s="60" t="str">
        <f>IF(table_data[[#This Row],[Flagged-Issues]] = 0, "", table_data[[#This Row],[Flagged-Issues]])</f>
        <v/>
      </c>
    </row>
    <row r="267" spans="1:45" x14ac:dyDescent="0.25">
      <c r="A267" t="s">
        <v>289</v>
      </c>
      <c r="B267" t="s">
        <v>154</v>
      </c>
      <c r="C267" t="s">
        <v>122</v>
      </c>
      <c r="D267" s="65">
        <v>202503110851</v>
      </c>
      <c r="E267" t="s">
        <v>290</v>
      </c>
      <c r="F267" t="s">
        <v>139</v>
      </c>
      <c r="G267" t="s">
        <v>364</v>
      </c>
      <c r="H267" t="s">
        <v>494</v>
      </c>
      <c r="I267" t="s">
        <v>126</v>
      </c>
      <c r="J267" t="s">
        <v>157</v>
      </c>
      <c r="K267" t="s">
        <v>128</v>
      </c>
      <c r="L267">
        <v>4</v>
      </c>
      <c r="M267" t="s">
        <v>431</v>
      </c>
      <c r="N267">
        <v>14</v>
      </c>
      <c r="O267">
        <v>4</v>
      </c>
      <c r="P267"/>
      <c r="Q267"/>
      <c r="R267"/>
      <c r="S267" s="72">
        <v>45727</v>
      </c>
      <c r="T267" s="72">
        <v>45730</v>
      </c>
      <c r="U267" s="72">
        <v>45730</v>
      </c>
      <c r="V267" s="72" t="s">
        <v>130</v>
      </c>
      <c r="W267" s="72">
        <v>45751</v>
      </c>
      <c r="X267" s="72" t="s">
        <v>130</v>
      </c>
      <c r="Y267" t="s">
        <v>288</v>
      </c>
      <c r="Z267" t="s">
        <v>285</v>
      </c>
      <c r="AA267" t="s">
        <v>131</v>
      </c>
      <c r="AB267" t="s">
        <v>131</v>
      </c>
      <c r="AC267" t="s">
        <v>131</v>
      </c>
      <c r="AD267" t="s">
        <v>131</v>
      </c>
      <c r="AE267" t="s">
        <v>131</v>
      </c>
      <c r="AF267" t="s">
        <v>131</v>
      </c>
      <c r="AG267" t="s">
        <v>131</v>
      </c>
      <c r="AH267" t="s">
        <v>131</v>
      </c>
      <c r="AI267" t="s">
        <v>132</v>
      </c>
      <c r="AJ267">
        <v>0</v>
      </c>
      <c r="AK267" t="s">
        <v>132</v>
      </c>
      <c r="AL267" t="s">
        <v>148</v>
      </c>
      <c r="AM267" s="16">
        <f>IF(OR(AC267="Yes",K267="Info Request", K267="Side-Project"),0,(NETWORKDAYS(T267,U267,Holidays!A$2:A$13))-1)</f>
        <v>0</v>
      </c>
      <c r="AN267" s="16">
        <f>IF(OR(AC267="Yes",K267="Info Request", K267="Side-Project"),0,(NETWORKDAYS(U267,W267,Holidays!A$2:A$13))-1)</f>
        <v>15</v>
      </c>
      <c r="AO267" s="16">
        <f>IF(OR(V267="none"),0,((NETWORKDAYS(S267,V267,Holidays!A$2:A$13))-1))</f>
        <v>0</v>
      </c>
      <c r="AP267" s="16" t="b">
        <f t="shared" si="15"/>
        <v>1</v>
      </c>
      <c r="AQ267" s="16" t="b">
        <f t="shared" si="16"/>
        <v>1</v>
      </c>
      <c r="AR267" s="60" t="str">
        <f t="shared" si="17"/>
        <v>OK</v>
      </c>
      <c r="AS267" s="60" t="str">
        <f>IF(table_data[[#This Row],[Flagged-Issues]] = 0, "", table_data[[#This Row],[Flagged-Issues]])</f>
        <v/>
      </c>
    </row>
    <row r="268" spans="1:45" x14ac:dyDescent="0.25">
      <c r="A268" t="s">
        <v>289</v>
      </c>
      <c r="B268" t="s">
        <v>154</v>
      </c>
      <c r="C268" t="s">
        <v>122</v>
      </c>
      <c r="D268" s="65">
        <v>202503051312</v>
      </c>
      <c r="E268" t="s">
        <v>290</v>
      </c>
      <c r="F268" t="s">
        <v>139</v>
      </c>
      <c r="G268"/>
      <c r="H268" t="s">
        <v>495</v>
      </c>
      <c r="I268" t="s">
        <v>126</v>
      </c>
      <c r="J268" t="s">
        <v>167</v>
      </c>
      <c r="K268" t="s">
        <v>128</v>
      </c>
      <c r="L268">
        <v>10</v>
      </c>
      <c r="M268" t="s">
        <v>496</v>
      </c>
      <c r="N268">
        <v>28</v>
      </c>
      <c r="O268">
        <v>4</v>
      </c>
      <c r="P268"/>
      <c r="Q268"/>
      <c r="R268"/>
      <c r="S268" s="72">
        <v>45721</v>
      </c>
      <c r="T268" s="72">
        <v>45729</v>
      </c>
      <c r="U268" s="72">
        <v>45741</v>
      </c>
      <c r="V268" s="72" t="s">
        <v>130</v>
      </c>
      <c r="W268" s="72">
        <v>45776</v>
      </c>
      <c r="X268" s="72" t="s">
        <v>130</v>
      </c>
      <c r="Y268" t="s">
        <v>146</v>
      </c>
      <c r="Z268" t="s">
        <v>147</v>
      </c>
      <c r="AA268" t="s">
        <v>131</v>
      </c>
      <c r="AB268" t="s">
        <v>131</v>
      </c>
      <c r="AC268" t="s">
        <v>131</v>
      </c>
      <c r="AD268" t="s">
        <v>132</v>
      </c>
      <c r="AE268" t="s">
        <v>132</v>
      </c>
      <c r="AF268" t="s">
        <v>131</v>
      </c>
      <c r="AG268" t="s">
        <v>132</v>
      </c>
      <c r="AH268" t="s">
        <v>132</v>
      </c>
      <c r="AI268" t="s">
        <v>132</v>
      </c>
      <c r="AJ268">
        <v>0</v>
      </c>
      <c r="AK268" t="s">
        <v>132</v>
      </c>
      <c r="AL268" t="s">
        <v>148</v>
      </c>
      <c r="AM268" s="16">
        <f>IF(OR(AC268="Yes",K268="Info Request", K268="Side-Project"),0,(NETWORKDAYS(T268,U268,Holidays!A$2:A$13))-1)</f>
        <v>8</v>
      </c>
      <c r="AN268" s="16">
        <f>IF(OR(AC268="Yes",K268="Info Request", K268="Side-Project"),0,(NETWORKDAYS(U268,W268,Holidays!A$2:A$13))-1)</f>
        <v>23</v>
      </c>
      <c r="AO268" s="16">
        <f>IF(OR(V268="none"),0,((NETWORKDAYS(S268,V268,Holidays!A$2:A$13))-1))</f>
        <v>0</v>
      </c>
      <c r="AP268" s="16" t="b">
        <f t="shared" si="15"/>
        <v>1</v>
      </c>
      <c r="AQ268" s="16" t="b">
        <f t="shared" si="16"/>
        <v>1</v>
      </c>
      <c r="AR268" s="60" t="str">
        <f t="shared" si="17"/>
        <v>OK</v>
      </c>
      <c r="AS268" s="60" t="str">
        <f>IF(table_data[[#This Row],[Flagged-Issues]] = 0, "", table_data[[#This Row],[Flagged-Issues]])</f>
        <v/>
      </c>
    </row>
    <row r="269" spans="1:45" x14ac:dyDescent="0.25">
      <c r="A269" t="s">
        <v>29</v>
      </c>
      <c r="B269" t="s">
        <v>121</v>
      </c>
      <c r="C269" t="s">
        <v>122</v>
      </c>
      <c r="D269" s="65">
        <v>202504301150</v>
      </c>
      <c r="E269" t="s">
        <v>444</v>
      </c>
      <c r="F269" t="s">
        <v>173</v>
      </c>
      <c r="G269"/>
      <c r="H269" t="s">
        <v>497</v>
      </c>
      <c r="I269" t="s">
        <v>126</v>
      </c>
      <c r="J269" t="s">
        <v>151</v>
      </c>
      <c r="K269" t="s">
        <v>128</v>
      </c>
      <c r="L269">
        <v>2</v>
      </c>
      <c r="M269" t="s">
        <v>158</v>
      </c>
      <c r="N269">
        <v>2</v>
      </c>
      <c r="O269"/>
      <c r="P269"/>
      <c r="Q269"/>
      <c r="R269"/>
      <c r="S269" s="72">
        <v>45777</v>
      </c>
      <c r="T269" s="72">
        <v>45777</v>
      </c>
      <c r="U269" s="72">
        <v>45777</v>
      </c>
      <c r="V269" s="72" t="s">
        <v>130</v>
      </c>
      <c r="W269" s="72">
        <v>45777</v>
      </c>
      <c r="X269" s="72" t="s">
        <v>130</v>
      </c>
      <c r="Y269" t="s">
        <v>288</v>
      </c>
      <c r="Z269" t="s">
        <v>147</v>
      </c>
      <c r="AA269" t="s">
        <v>131</v>
      </c>
      <c r="AB269" t="s">
        <v>132</v>
      </c>
      <c r="AC269" t="s">
        <v>131</v>
      </c>
      <c r="AD269" t="s">
        <v>131</v>
      </c>
      <c r="AE269" t="s">
        <v>131</v>
      </c>
      <c r="AF269" t="s">
        <v>132</v>
      </c>
      <c r="AG269" t="s">
        <v>131</v>
      </c>
      <c r="AH269" t="s">
        <v>131</v>
      </c>
      <c r="AI269" t="s">
        <v>131</v>
      </c>
      <c r="AJ269">
        <v>0</v>
      </c>
      <c r="AK269" t="s">
        <v>131</v>
      </c>
      <c r="AL269" t="s">
        <v>148</v>
      </c>
      <c r="AM269" s="16">
        <f>IF(OR(AC269="Yes",K269="Info Request", K269="Side-Project"),0,(NETWORKDAYS(T269,U269,Holidays!A$2:A$13))-1)</f>
        <v>0</v>
      </c>
      <c r="AN269" s="16">
        <f>IF(OR(AC269="Yes",K269="Info Request", K269="Side-Project"),0,(NETWORKDAYS(U269,W269,Holidays!A$2:A$13))-1)</f>
        <v>0</v>
      </c>
      <c r="AO269" s="16">
        <f>IF(OR(V269="none"),0,((NETWORKDAYS(S269,V269,Holidays!A$2:A$13))-1))</f>
        <v>0</v>
      </c>
      <c r="AP269" s="16" t="b">
        <f t="shared" si="15"/>
        <v>1</v>
      </c>
      <c r="AQ269" s="16" t="b">
        <f t="shared" si="16"/>
        <v>1</v>
      </c>
      <c r="AR269" s="60" t="str">
        <f t="shared" si="17"/>
        <v>OK</v>
      </c>
      <c r="AS269" s="60" t="str">
        <f>IF(table_data[[#This Row],[Flagged-Issues]] = 0, "", table_data[[#This Row],[Flagged-Issues]])</f>
        <v/>
      </c>
    </row>
    <row r="270" spans="1:45" x14ac:dyDescent="0.25">
      <c r="A270" t="s">
        <v>104</v>
      </c>
      <c r="B270" t="s">
        <v>121</v>
      </c>
      <c r="C270" t="s">
        <v>122</v>
      </c>
      <c r="D270" s="65">
        <v>202504091327</v>
      </c>
      <c r="E270" t="s">
        <v>210</v>
      </c>
      <c r="F270" t="s">
        <v>134</v>
      </c>
      <c r="G270"/>
      <c r="H270" t="s">
        <v>498</v>
      </c>
      <c r="I270" t="s">
        <v>126</v>
      </c>
      <c r="J270" t="s">
        <v>136</v>
      </c>
      <c r="K270" t="s">
        <v>128</v>
      </c>
      <c r="L270">
        <v>2</v>
      </c>
      <c r="M270" t="s">
        <v>137</v>
      </c>
      <c r="N270">
        <v>1</v>
      </c>
      <c r="O270"/>
      <c r="P270"/>
      <c r="Q270"/>
      <c r="R270"/>
      <c r="S270" s="72">
        <v>45756</v>
      </c>
      <c r="T270" s="72">
        <v>45757</v>
      </c>
      <c r="U270" s="72">
        <v>45757</v>
      </c>
      <c r="V270" s="72" t="s">
        <v>130</v>
      </c>
      <c r="W270" s="72">
        <v>45758</v>
      </c>
      <c r="X270" s="72" t="s">
        <v>130</v>
      </c>
      <c r="Y270"/>
      <c r="Z270"/>
      <c r="AA270" t="s">
        <v>131</v>
      </c>
      <c r="AB270" t="s">
        <v>132</v>
      </c>
      <c r="AC270" t="s">
        <v>131</v>
      </c>
      <c r="AD270" t="s">
        <v>131</v>
      </c>
      <c r="AE270" t="s">
        <v>131</v>
      </c>
      <c r="AF270" t="s">
        <v>131</v>
      </c>
      <c r="AG270" t="s">
        <v>131</v>
      </c>
      <c r="AH270" t="s">
        <v>131</v>
      </c>
      <c r="AI270" t="s">
        <v>131</v>
      </c>
      <c r="AJ270">
        <v>0</v>
      </c>
      <c r="AK270" t="s">
        <v>131</v>
      </c>
      <c r="AL270" t="s">
        <v>132</v>
      </c>
      <c r="AM270" s="16">
        <f>IF(OR(AC270="Yes",K270="Info Request", K270="Side-Project"),0,(NETWORKDAYS(T270,U270,Holidays!A$2:A$13))-1)</f>
        <v>0</v>
      </c>
      <c r="AN270" s="16">
        <f>IF(OR(AC270="Yes",K270="Info Request", K270="Side-Project"),0,(NETWORKDAYS(U270,W270,Holidays!A$2:A$13))-1)</f>
        <v>1</v>
      </c>
      <c r="AO270" s="16">
        <f>IF(OR(V270="none"),0,((NETWORKDAYS(S270,V270,Holidays!A$2:A$13))-1))</f>
        <v>0</v>
      </c>
      <c r="AP270" s="16" t="b">
        <f t="shared" si="15"/>
        <v>1</v>
      </c>
      <c r="AQ270" s="16" t="b">
        <f t="shared" si="16"/>
        <v>1</v>
      </c>
      <c r="AR270" s="60" t="str">
        <f t="shared" si="17"/>
        <v>OK</v>
      </c>
      <c r="AS270" s="60" t="str">
        <f>IF(table_data[[#This Row],[Flagged-Issues]] = 0, "", table_data[[#This Row],[Flagged-Issues]])</f>
        <v/>
      </c>
    </row>
    <row r="271" spans="1:45" x14ac:dyDescent="0.25">
      <c r="A271" t="s">
        <v>29</v>
      </c>
      <c r="B271" t="s">
        <v>154</v>
      </c>
      <c r="C271" t="s">
        <v>122</v>
      </c>
      <c r="D271" s="65">
        <v>202504011043</v>
      </c>
      <c r="E271" t="s">
        <v>230</v>
      </c>
      <c r="F271" t="s">
        <v>231</v>
      </c>
      <c r="G271"/>
      <c r="H271" t="s">
        <v>499</v>
      </c>
      <c r="I271" t="s">
        <v>126</v>
      </c>
      <c r="J271" t="s">
        <v>145</v>
      </c>
      <c r="K271" t="s">
        <v>128</v>
      </c>
      <c r="L271">
        <v>3</v>
      </c>
      <c r="M271" t="s">
        <v>241</v>
      </c>
      <c r="N271">
        <v>2</v>
      </c>
      <c r="O271">
        <v>10</v>
      </c>
      <c r="P271"/>
      <c r="Q271"/>
      <c r="R271"/>
      <c r="S271" s="72">
        <v>45748</v>
      </c>
      <c r="T271" s="72">
        <v>45761</v>
      </c>
      <c r="U271" s="72">
        <v>45762</v>
      </c>
      <c r="V271" s="72" t="s">
        <v>130</v>
      </c>
      <c r="W271" s="72">
        <v>45762</v>
      </c>
      <c r="X271" s="72" t="s">
        <v>130</v>
      </c>
      <c r="Y271" t="s">
        <v>146</v>
      </c>
      <c r="Z271" t="s">
        <v>147</v>
      </c>
      <c r="AA271" t="s">
        <v>131</v>
      </c>
      <c r="AB271" t="s">
        <v>131</v>
      </c>
      <c r="AC271" t="s">
        <v>131</v>
      </c>
      <c r="AD271" t="s">
        <v>132</v>
      </c>
      <c r="AE271" t="s">
        <v>131</v>
      </c>
      <c r="AF271" t="s">
        <v>131</v>
      </c>
      <c r="AG271" t="s">
        <v>131</v>
      </c>
      <c r="AH271" t="s">
        <v>132</v>
      </c>
      <c r="AI271" t="s">
        <v>131</v>
      </c>
      <c r="AJ271">
        <v>0</v>
      </c>
      <c r="AK271" t="s">
        <v>132</v>
      </c>
      <c r="AL271" t="s">
        <v>148</v>
      </c>
      <c r="AM271" s="16">
        <f>IF(OR(AC271="Yes",K271="Info Request", K271="Side-Project"),0,(NETWORKDAYS(T271,U271,Holidays!A$2:A$13))-1)</f>
        <v>1</v>
      </c>
      <c r="AN271" s="16">
        <f>IF(OR(AC271="Yes",K271="Info Request", K271="Side-Project"),0,(NETWORKDAYS(U271,W271,Holidays!A$2:A$13))-1)</f>
        <v>0</v>
      </c>
      <c r="AO271" s="16">
        <f>IF(OR(V271="none"),0,((NETWORKDAYS(S271,V271,Holidays!A$2:A$13))-1))</f>
        <v>0</v>
      </c>
      <c r="AP271" s="16" t="b">
        <f t="shared" si="15"/>
        <v>1</v>
      </c>
      <c r="AQ271" s="16" t="b">
        <f t="shared" si="16"/>
        <v>1</v>
      </c>
      <c r="AR271" s="60" t="str">
        <f t="shared" si="17"/>
        <v>OK</v>
      </c>
      <c r="AS271" s="60" t="str">
        <f>IF(table_data[[#This Row],[Flagged-Issues]] = 0, "", table_data[[#This Row],[Flagged-Issues]])</f>
        <v/>
      </c>
    </row>
    <row r="272" spans="1:45" x14ac:dyDescent="0.25">
      <c r="A272" t="s">
        <v>29</v>
      </c>
      <c r="B272" t="s">
        <v>154</v>
      </c>
      <c r="C272" t="s">
        <v>122</v>
      </c>
      <c r="D272" s="65">
        <v>202504011343</v>
      </c>
      <c r="E272" t="s">
        <v>230</v>
      </c>
      <c r="F272" t="s">
        <v>231</v>
      </c>
      <c r="G272"/>
      <c r="H272" t="s">
        <v>500</v>
      </c>
      <c r="I272" t="s">
        <v>126</v>
      </c>
      <c r="J272" t="s">
        <v>127</v>
      </c>
      <c r="K272" t="s">
        <v>128</v>
      </c>
      <c r="L272">
        <v>3</v>
      </c>
      <c r="M272" t="s">
        <v>421</v>
      </c>
      <c r="N272">
        <v>2</v>
      </c>
      <c r="O272">
        <v>10</v>
      </c>
      <c r="P272"/>
      <c r="Q272"/>
      <c r="R272"/>
      <c r="S272" s="72">
        <v>45748</v>
      </c>
      <c r="T272" s="72">
        <v>45755</v>
      </c>
      <c r="U272" s="72">
        <v>45757</v>
      </c>
      <c r="V272" s="72" t="s">
        <v>130</v>
      </c>
      <c r="W272" s="72">
        <v>45769</v>
      </c>
      <c r="X272" s="72" t="s">
        <v>130</v>
      </c>
      <c r="Y272" t="s">
        <v>146</v>
      </c>
      <c r="Z272" t="s">
        <v>147</v>
      </c>
      <c r="AA272" t="s">
        <v>131</v>
      </c>
      <c r="AB272" t="s">
        <v>131</v>
      </c>
      <c r="AC272" t="s">
        <v>131</v>
      </c>
      <c r="AD272" t="s">
        <v>132</v>
      </c>
      <c r="AE272" t="s">
        <v>131</v>
      </c>
      <c r="AF272" t="s">
        <v>131</v>
      </c>
      <c r="AG272" t="s">
        <v>131</v>
      </c>
      <c r="AH272" t="s">
        <v>131</v>
      </c>
      <c r="AI272" t="s">
        <v>131</v>
      </c>
      <c r="AJ272">
        <v>0</v>
      </c>
      <c r="AK272" t="s">
        <v>132</v>
      </c>
      <c r="AL272" t="s">
        <v>131</v>
      </c>
      <c r="AM272" s="16">
        <f>IF(OR(AC272="Yes",K272="Info Request", K272="Side-Project"),0,(NETWORKDAYS(T272,U272,Holidays!A$2:A$13))-1)</f>
        <v>2</v>
      </c>
      <c r="AN272" s="16">
        <f>IF(OR(AC272="Yes",K272="Info Request", K272="Side-Project"),0,(NETWORKDAYS(U272,W272,Holidays!A$2:A$13))-1)</f>
        <v>6</v>
      </c>
      <c r="AO272" s="16">
        <f>IF(OR(V272="none"),0,((NETWORKDAYS(S272,V272,Holidays!A$2:A$13))-1))</f>
        <v>0</v>
      </c>
      <c r="AP272" s="16" t="b">
        <f t="shared" si="15"/>
        <v>1</v>
      </c>
      <c r="AQ272" s="16" t="b">
        <f t="shared" si="16"/>
        <v>1</v>
      </c>
      <c r="AR272" s="60" t="str">
        <f t="shared" si="17"/>
        <v>OK</v>
      </c>
      <c r="AS272" s="60" t="str">
        <f>IF(table_data[[#This Row],[Flagged-Issues]] = 0, "", table_data[[#This Row],[Flagged-Issues]])</f>
        <v/>
      </c>
    </row>
    <row r="273" spans="1:45" x14ac:dyDescent="0.25">
      <c r="A273" t="s">
        <v>29</v>
      </c>
      <c r="B273" t="s">
        <v>154</v>
      </c>
      <c r="C273" t="s">
        <v>122</v>
      </c>
      <c r="D273" s="65">
        <v>202504011348</v>
      </c>
      <c r="E273" t="s">
        <v>230</v>
      </c>
      <c r="F273" t="s">
        <v>231</v>
      </c>
      <c r="G273"/>
      <c r="H273" t="s">
        <v>501</v>
      </c>
      <c r="I273" t="s">
        <v>126</v>
      </c>
      <c r="J273" t="s">
        <v>157</v>
      </c>
      <c r="K273" t="s">
        <v>128</v>
      </c>
      <c r="L273">
        <v>3</v>
      </c>
      <c r="M273" t="s">
        <v>177</v>
      </c>
      <c r="N273">
        <v>2</v>
      </c>
      <c r="O273">
        <v>10</v>
      </c>
      <c r="P273"/>
      <c r="Q273"/>
      <c r="R273"/>
      <c r="S273" s="72">
        <v>45748</v>
      </c>
      <c r="T273" s="72">
        <v>45761</v>
      </c>
      <c r="U273" s="72">
        <v>45761</v>
      </c>
      <c r="V273" s="72" t="s">
        <v>130</v>
      </c>
      <c r="W273" s="72">
        <v>45762</v>
      </c>
      <c r="X273" s="72" t="s">
        <v>130</v>
      </c>
      <c r="Y273"/>
      <c r="Z273"/>
      <c r="AA273" t="s">
        <v>131</v>
      </c>
      <c r="AB273" t="s">
        <v>131</v>
      </c>
      <c r="AC273" t="s">
        <v>131</v>
      </c>
      <c r="AD273" t="s">
        <v>132</v>
      </c>
      <c r="AE273" t="s">
        <v>131</v>
      </c>
      <c r="AF273" t="s">
        <v>131</v>
      </c>
      <c r="AG273" t="s">
        <v>131</v>
      </c>
      <c r="AH273" t="s">
        <v>131</v>
      </c>
      <c r="AI273" t="s">
        <v>131</v>
      </c>
      <c r="AJ273">
        <v>0</v>
      </c>
      <c r="AK273" t="s">
        <v>131</v>
      </c>
      <c r="AL273" t="s">
        <v>148</v>
      </c>
      <c r="AM273" s="16">
        <f>IF(OR(AC273="Yes",K273="Info Request", K273="Side-Project"),0,(NETWORKDAYS(T273,U273,Holidays!A$2:A$13))-1)</f>
        <v>0</v>
      </c>
      <c r="AN273" s="16">
        <f>IF(OR(AC273="Yes",K273="Info Request", K273="Side-Project"),0,(NETWORKDAYS(U273,W273,Holidays!A$2:A$13))-1)</f>
        <v>1</v>
      </c>
      <c r="AO273" s="16">
        <f>IF(OR(V273="none"),0,((NETWORKDAYS(S273,V273,Holidays!A$2:A$13))-1))</f>
        <v>0</v>
      </c>
      <c r="AP273" s="16" t="b">
        <f t="shared" si="15"/>
        <v>1</v>
      </c>
      <c r="AQ273" s="16" t="b">
        <f t="shared" si="16"/>
        <v>1</v>
      </c>
      <c r="AR273" s="60" t="str">
        <f t="shared" si="17"/>
        <v>OK</v>
      </c>
      <c r="AS273" s="60" t="str">
        <f>IF(table_data[[#This Row],[Flagged-Issues]] = 0, "", table_data[[#This Row],[Flagged-Issues]])</f>
        <v/>
      </c>
    </row>
    <row r="274" spans="1:45" x14ac:dyDescent="0.25">
      <c r="A274" t="s">
        <v>29</v>
      </c>
      <c r="B274" t="s">
        <v>154</v>
      </c>
      <c r="C274" t="s">
        <v>122</v>
      </c>
      <c r="D274" s="65">
        <v>202504221148</v>
      </c>
      <c r="E274" t="s">
        <v>230</v>
      </c>
      <c r="F274" t="s">
        <v>231</v>
      </c>
      <c r="G274"/>
      <c r="H274" t="s">
        <v>502</v>
      </c>
      <c r="I274" t="s">
        <v>126</v>
      </c>
      <c r="J274" t="s">
        <v>151</v>
      </c>
      <c r="K274" t="s">
        <v>128</v>
      </c>
      <c r="L274">
        <v>4</v>
      </c>
      <c r="M274" t="s">
        <v>421</v>
      </c>
      <c r="N274">
        <v>4</v>
      </c>
      <c r="O274">
        <v>10</v>
      </c>
      <c r="P274"/>
      <c r="Q274"/>
      <c r="R274"/>
      <c r="S274" s="72">
        <v>45769</v>
      </c>
      <c r="T274" s="72">
        <v>45769</v>
      </c>
      <c r="U274" s="72">
        <v>45770</v>
      </c>
      <c r="V274" s="72" t="s">
        <v>130</v>
      </c>
      <c r="W274" s="72">
        <v>45770</v>
      </c>
      <c r="X274" s="72" t="s">
        <v>130</v>
      </c>
      <c r="Y274" t="s">
        <v>146</v>
      </c>
      <c r="Z274" t="s">
        <v>147</v>
      </c>
      <c r="AA274" t="s">
        <v>131</v>
      </c>
      <c r="AB274" t="s">
        <v>131</v>
      </c>
      <c r="AC274" t="s">
        <v>131</v>
      </c>
      <c r="AD274" t="s">
        <v>131</v>
      </c>
      <c r="AE274" t="s">
        <v>131</v>
      </c>
      <c r="AF274" t="s">
        <v>131</v>
      </c>
      <c r="AG274" t="s">
        <v>131</v>
      </c>
      <c r="AH274" t="s">
        <v>131</v>
      </c>
      <c r="AI274" t="s">
        <v>132</v>
      </c>
      <c r="AJ274">
        <v>0</v>
      </c>
      <c r="AK274" t="s">
        <v>132</v>
      </c>
      <c r="AL274" t="s">
        <v>148</v>
      </c>
      <c r="AM274" s="16">
        <f>IF(OR(AC274="Yes",K274="Info Request", K274="Side-Project"),0,(NETWORKDAYS(T274,U274,Holidays!A$2:A$13))-1)</f>
        <v>1</v>
      </c>
      <c r="AN274" s="16">
        <f>IF(OR(AC274="Yes",K274="Info Request", K274="Side-Project"),0,(NETWORKDAYS(U274,W274,Holidays!A$2:A$13))-1)</f>
        <v>0</v>
      </c>
      <c r="AO274" s="16">
        <f>IF(OR(V274="none"),0,((NETWORKDAYS(S274,V274,Holidays!A$2:A$13))-1))</f>
        <v>0</v>
      </c>
      <c r="AP274" s="16" t="b">
        <f t="shared" si="15"/>
        <v>1</v>
      </c>
      <c r="AQ274" s="16" t="b">
        <f t="shared" si="16"/>
        <v>1</v>
      </c>
      <c r="AR274" s="60" t="str">
        <f t="shared" si="17"/>
        <v>OK</v>
      </c>
      <c r="AS274" s="60" t="str">
        <f>IF(table_data[[#This Row],[Flagged-Issues]] = 0, "", table_data[[#This Row],[Flagged-Issues]])</f>
        <v/>
      </c>
    </row>
    <row r="275" spans="1:45" x14ac:dyDescent="0.25">
      <c r="A275" t="s">
        <v>29</v>
      </c>
      <c r="B275" t="s">
        <v>154</v>
      </c>
      <c r="C275" t="s">
        <v>122</v>
      </c>
      <c r="D275" s="65">
        <v>202503261324</v>
      </c>
      <c r="E275" t="s">
        <v>230</v>
      </c>
      <c r="F275" t="s">
        <v>231</v>
      </c>
      <c r="G275"/>
      <c r="H275" t="s">
        <v>503</v>
      </c>
      <c r="I275" t="s">
        <v>126</v>
      </c>
      <c r="J275" t="s">
        <v>145</v>
      </c>
      <c r="K275" t="s">
        <v>128</v>
      </c>
      <c r="L275">
        <v>2</v>
      </c>
      <c r="M275" t="s">
        <v>362</v>
      </c>
      <c r="N275">
        <v>2</v>
      </c>
      <c r="O275">
        <v>6</v>
      </c>
      <c r="P275"/>
      <c r="Q275"/>
      <c r="R275"/>
      <c r="S275" s="72">
        <v>45742</v>
      </c>
      <c r="T275" s="72">
        <v>45751</v>
      </c>
      <c r="U275" s="72">
        <v>45751</v>
      </c>
      <c r="V275" s="72" t="s">
        <v>130</v>
      </c>
      <c r="W275" s="72">
        <v>45751</v>
      </c>
      <c r="X275" s="72" t="s">
        <v>130</v>
      </c>
      <c r="Y275" t="s">
        <v>146</v>
      </c>
      <c r="Z275" t="s">
        <v>147</v>
      </c>
      <c r="AA275" t="s">
        <v>131</v>
      </c>
      <c r="AB275" t="s">
        <v>131</v>
      </c>
      <c r="AC275" t="s">
        <v>131</v>
      </c>
      <c r="AD275" t="s">
        <v>132</v>
      </c>
      <c r="AE275" t="s">
        <v>131</v>
      </c>
      <c r="AF275" t="s">
        <v>131</v>
      </c>
      <c r="AG275" t="s">
        <v>131</v>
      </c>
      <c r="AH275" t="s">
        <v>131</v>
      </c>
      <c r="AI275" t="s">
        <v>131</v>
      </c>
      <c r="AJ275">
        <v>0</v>
      </c>
      <c r="AK275" t="s">
        <v>132</v>
      </c>
      <c r="AL275" t="s">
        <v>148</v>
      </c>
      <c r="AM275" s="16">
        <f>IF(OR(AC275="Yes",K275="Info Request", K275="Side-Project"),0,(NETWORKDAYS(T275,U275,Holidays!A$2:A$13))-1)</f>
        <v>0</v>
      </c>
      <c r="AN275" s="16">
        <f>IF(OR(AC275="Yes",K275="Info Request", K275="Side-Project"),0,(NETWORKDAYS(U275,W275,Holidays!A$2:A$13))-1)</f>
        <v>0</v>
      </c>
      <c r="AO275" s="16">
        <f>IF(OR(V275="none"),0,((NETWORKDAYS(S275,V275,Holidays!A$2:A$13))-1))</f>
        <v>0</v>
      </c>
      <c r="AP275" s="16" t="b">
        <f t="shared" si="15"/>
        <v>1</v>
      </c>
      <c r="AQ275" s="16" t="b">
        <f t="shared" si="16"/>
        <v>1</v>
      </c>
      <c r="AR275" s="60" t="str">
        <f t="shared" si="17"/>
        <v>OK</v>
      </c>
      <c r="AS275" s="60" t="str">
        <f>IF(table_data[[#This Row],[Flagged-Issues]] = 0, "", table_data[[#This Row],[Flagged-Issues]])</f>
        <v/>
      </c>
    </row>
    <row r="276" spans="1:45" x14ac:dyDescent="0.25">
      <c r="A276" t="s">
        <v>29</v>
      </c>
      <c r="B276" t="s">
        <v>154</v>
      </c>
      <c r="C276" t="s">
        <v>122</v>
      </c>
      <c r="D276" s="65">
        <v>202503261333</v>
      </c>
      <c r="E276" t="s">
        <v>230</v>
      </c>
      <c r="F276" t="s">
        <v>231</v>
      </c>
      <c r="G276"/>
      <c r="H276" t="s">
        <v>504</v>
      </c>
      <c r="I276" t="s">
        <v>126</v>
      </c>
      <c r="J276" t="s">
        <v>157</v>
      </c>
      <c r="K276" t="s">
        <v>128</v>
      </c>
      <c r="L276">
        <v>3</v>
      </c>
      <c r="M276" t="s">
        <v>241</v>
      </c>
      <c r="N276">
        <v>2</v>
      </c>
      <c r="O276">
        <v>10</v>
      </c>
      <c r="P276"/>
      <c r="Q276"/>
      <c r="R276"/>
      <c r="S276" s="72">
        <v>45742</v>
      </c>
      <c r="T276" s="72">
        <v>45754</v>
      </c>
      <c r="U276" s="72">
        <v>45754</v>
      </c>
      <c r="V276" s="72" t="s">
        <v>130</v>
      </c>
      <c r="W276" s="72">
        <v>45756</v>
      </c>
      <c r="X276" s="72" t="s">
        <v>130</v>
      </c>
      <c r="Y276" t="s">
        <v>146</v>
      </c>
      <c r="Z276" t="s">
        <v>147</v>
      </c>
      <c r="AA276" t="s">
        <v>131</v>
      </c>
      <c r="AB276" t="s">
        <v>131</v>
      </c>
      <c r="AC276" t="s">
        <v>131</v>
      </c>
      <c r="AD276" t="s">
        <v>132</v>
      </c>
      <c r="AE276" t="s">
        <v>131</v>
      </c>
      <c r="AF276" t="s">
        <v>131</v>
      </c>
      <c r="AG276" t="s">
        <v>131</v>
      </c>
      <c r="AH276" t="s">
        <v>131</v>
      </c>
      <c r="AI276" t="s">
        <v>131</v>
      </c>
      <c r="AJ276">
        <v>0</v>
      </c>
      <c r="AK276" t="s">
        <v>132</v>
      </c>
      <c r="AL276" t="s">
        <v>148</v>
      </c>
      <c r="AM276" s="16">
        <f>IF(OR(AC276="Yes",K276="Info Request", K276="Side-Project"),0,(NETWORKDAYS(T276,U276,Holidays!A$2:A$13))-1)</f>
        <v>0</v>
      </c>
      <c r="AN276" s="16">
        <f>IF(OR(AC276="Yes",K276="Info Request", K276="Side-Project"),0,(NETWORKDAYS(U276,W276,Holidays!A$2:A$13))-1)</f>
        <v>2</v>
      </c>
      <c r="AO276" s="16">
        <f>IF(OR(V276="none"),0,((NETWORKDAYS(S276,V276,Holidays!A$2:A$13))-1))</f>
        <v>0</v>
      </c>
      <c r="AP276" s="16" t="b">
        <f t="shared" si="15"/>
        <v>1</v>
      </c>
      <c r="AQ276" s="16" t="b">
        <f t="shared" si="16"/>
        <v>1</v>
      </c>
      <c r="AR276" s="60" t="str">
        <f t="shared" si="17"/>
        <v>OK</v>
      </c>
      <c r="AS276" s="60" t="str">
        <f>IF(table_data[[#This Row],[Flagged-Issues]] = 0, "", table_data[[#This Row],[Flagged-Issues]])</f>
        <v/>
      </c>
    </row>
    <row r="277" spans="1:45" x14ac:dyDescent="0.25">
      <c r="A277" t="s">
        <v>29</v>
      </c>
      <c r="B277" t="s">
        <v>154</v>
      </c>
      <c r="C277" t="s">
        <v>122</v>
      </c>
      <c r="D277" s="65">
        <v>202503261446</v>
      </c>
      <c r="E277" t="s">
        <v>230</v>
      </c>
      <c r="F277" t="s">
        <v>231</v>
      </c>
      <c r="G277"/>
      <c r="H277" t="s">
        <v>505</v>
      </c>
      <c r="I277" t="s">
        <v>126</v>
      </c>
      <c r="J277" t="s">
        <v>145</v>
      </c>
      <c r="K277" t="s">
        <v>128</v>
      </c>
      <c r="L277">
        <v>3</v>
      </c>
      <c r="M277" t="s">
        <v>241</v>
      </c>
      <c r="N277">
        <v>2</v>
      </c>
      <c r="O277">
        <v>10</v>
      </c>
      <c r="P277"/>
      <c r="Q277"/>
      <c r="R277"/>
      <c r="S277" s="72">
        <v>45742</v>
      </c>
      <c r="T277" s="72">
        <v>45754</v>
      </c>
      <c r="U277" s="72">
        <v>45755</v>
      </c>
      <c r="V277" s="72" t="s">
        <v>130</v>
      </c>
      <c r="W277" s="72">
        <v>45756</v>
      </c>
      <c r="X277" s="72" t="s">
        <v>130</v>
      </c>
      <c r="Y277" t="s">
        <v>146</v>
      </c>
      <c r="Z277" t="s">
        <v>147</v>
      </c>
      <c r="AA277" t="s">
        <v>131</v>
      </c>
      <c r="AB277" t="s">
        <v>131</v>
      </c>
      <c r="AC277" t="s">
        <v>131</v>
      </c>
      <c r="AD277" t="s">
        <v>132</v>
      </c>
      <c r="AE277" t="s">
        <v>131</v>
      </c>
      <c r="AF277" t="s">
        <v>131</v>
      </c>
      <c r="AG277" t="s">
        <v>131</v>
      </c>
      <c r="AH277" t="s">
        <v>131</v>
      </c>
      <c r="AI277" t="s">
        <v>131</v>
      </c>
      <c r="AJ277">
        <v>0</v>
      </c>
      <c r="AK277" t="s">
        <v>131</v>
      </c>
      <c r="AL277" t="s">
        <v>148</v>
      </c>
      <c r="AM277" s="16">
        <f>IF(OR(AC277="Yes",K277="Info Request", K277="Side-Project"),0,(NETWORKDAYS(T277,U277,Holidays!A$2:A$13))-1)</f>
        <v>1</v>
      </c>
      <c r="AN277" s="16">
        <f>IF(OR(AC277="Yes",K277="Info Request", K277="Side-Project"),0,(NETWORKDAYS(U277,W277,Holidays!A$2:A$13))-1)</f>
        <v>1</v>
      </c>
      <c r="AO277" s="16">
        <f>IF(OR(V277="none"),0,((NETWORKDAYS(S277,V277,Holidays!A$2:A$13))-1))</f>
        <v>0</v>
      </c>
      <c r="AP277" s="16" t="b">
        <f t="shared" si="15"/>
        <v>1</v>
      </c>
      <c r="AQ277" s="16" t="b">
        <f t="shared" si="16"/>
        <v>1</v>
      </c>
      <c r="AR277" s="60" t="str">
        <f t="shared" si="17"/>
        <v>OK</v>
      </c>
      <c r="AS277" s="60" t="str">
        <f>IF(table_data[[#This Row],[Flagged-Issues]] = 0, "", table_data[[#This Row],[Flagged-Issues]])</f>
        <v/>
      </c>
    </row>
    <row r="278" spans="1:45" x14ac:dyDescent="0.25">
      <c r="A278" t="s">
        <v>29</v>
      </c>
      <c r="B278" t="s">
        <v>154</v>
      </c>
      <c r="C278" t="s">
        <v>122</v>
      </c>
      <c r="D278" s="65">
        <v>202503271419</v>
      </c>
      <c r="E278" t="s">
        <v>230</v>
      </c>
      <c r="F278" t="s">
        <v>231</v>
      </c>
      <c r="G278"/>
      <c r="H278" t="s">
        <v>506</v>
      </c>
      <c r="I278" t="s">
        <v>126</v>
      </c>
      <c r="J278" t="s">
        <v>167</v>
      </c>
      <c r="K278" t="s">
        <v>128</v>
      </c>
      <c r="L278">
        <v>10</v>
      </c>
      <c r="M278" t="s">
        <v>177</v>
      </c>
      <c r="N278">
        <v>2</v>
      </c>
      <c r="O278">
        <v>10</v>
      </c>
      <c r="P278"/>
      <c r="Q278"/>
      <c r="R278"/>
      <c r="S278" s="72">
        <v>45726</v>
      </c>
      <c r="T278" s="72">
        <v>45741</v>
      </c>
      <c r="U278" s="72">
        <v>45744</v>
      </c>
      <c r="V278" s="72" t="s">
        <v>130</v>
      </c>
      <c r="W278" s="72">
        <v>45769</v>
      </c>
      <c r="X278" s="72" t="s">
        <v>130</v>
      </c>
      <c r="Y278" t="s">
        <v>146</v>
      </c>
      <c r="Z278" t="s">
        <v>147</v>
      </c>
      <c r="AA278" t="s">
        <v>131</v>
      </c>
      <c r="AB278" t="s">
        <v>131</v>
      </c>
      <c r="AC278" t="s">
        <v>131</v>
      </c>
      <c r="AD278" t="s">
        <v>131</v>
      </c>
      <c r="AE278" t="s">
        <v>131</v>
      </c>
      <c r="AF278" t="s">
        <v>131</v>
      </c>
      <c r="AG278" t="s">
        <v>131</v>
      </c>
      <c r="AH278" t="s">
        <v>131</v>
      </c>
      <c r="AI278" t="s">
        <v>132</v>
      </c>
      <c r="AJ278">
        <v>0</v>
      </c>
      <c r="AK278" t="s">
        <v>132</v>
      </c>
      <c r="AL278" t="s">
        <v>131</v>
      </c>
      <c r="AM278" s="16">
        <f>IF(OR(AC278="Yes",K278="Info Request", K278="Side-Project"),0,(NETWORKDAYS(T278,U278,Holidays!A$2:A$13))-1)</f>
        <v>3</v>
      </c>
      <c r="AN278" s="16">
        <f>IF(OR(AC278="Yes",K278="Info Request", K278="Side-Project"),0,(NETWORKDAYS(U278,W278,Holidays!A$2:A$13))-1)</f>
        <v>15</v>
      </c>
      <c r="AO278" s="16">
        <f>IF(OR(V278="none"),0,((NETWORKDAYS(S278,V278,Holidays!A$2:A$13))-1))</f>
        <v>0</v>
      </c>
      <c r="AP278" s="16" t="b">
        <f t="shared" si="15"/>
        <v>1</v>
      </c>
      <c r="AQ278" s="16" t="b">
        <f t="shared" si="16"/>
        <v>1</v>
      </c>
      <c r="AR278" s="60" t="str">
        <f t="shared" si="17"/>
        <v>OK</v>
      </c>
      <c r="AS278" s="60" t="str">
        <f>IF(table_data[[#This Row],[Flagged-Issues]] = 0, "", table_data[[#This Row],[Flagged-Issues]])</f>
        <v/>
      </c>
    </row>
    <row r="279" spans="1:45" x14ac:dyDescent="0.25">
      <c r="A279" t="s">
        <v>29</v>
      </c>
      <c r="B279" t="s">
        <v>154</v>
      </c>
      <c r="C279" t="s">
        <v>122</v>
      </c>
      <c r="D279" s="65">
        <v>202504250931</v>
      </c>
      <c r="E279" t="s">
        <v>230</v>
      </c>
      <c r="F279" t="s">
        <v>231</v>
      </c>
      <c r="G279"/>
      <c r="H279" t="s">
        <v>507</v>
      </c>
      <c r="I279" t="s">
        <v>126</v>
      </c>
      <c r="J279" t="s">
        <v>157</v>
      </c>
      <c r="K279" t="s">
        <v>128</v>
      </c>
      <c r="L279">
        <v>3</v>
      </c>
      <c r="M279" t="s">
        <v>158</v>
      </c>
      <c r="N279">
        <v>2</v>
      </c>
      <c r="O279"/>
      <c r="P279"/>
      <c r="Q279"/>
      <c r="R279"/>
      <c r="S279" s="72">
        <v>45772</v>
      </c>
      <c r="T279" s="72">
        <v>45777</v>
      </c>
      <c r="U279" s="72">
        <v>45777</v>
      </c>
      <c r="V279" s="72" t="s">
        <v>130</v>
      </c>
      <c r="W279" s="72">
        <v>45777</v>
      </c>
      <c r="X279" s="72" t="s">
        <v>130</v>
      </c>
      <c r="Y279"/>
      <c r="Z279"/>
      <c r="AA279" t="s">
        <v>131</v>
      </c>
      <c r="AB279" t="s">
        <v>131</v>
      </c>
      <c r="AC279" t="s">
        <v>131</v>
      </c>
      <c r="AD279" t="s">
        <v>132</v>
      </c>
      <c r="AE279" t="s">
        <v>132</v>
      </c>
      <c r="AF279" t="s">
        <v>131</v>
      </c>
      <c r="AG279" t="s">
        <v>131</v>
      </c>
      <c r="AH279" t="s">
        <v>131</v>
      </c>
      <c r="AI279" t="s">
        <v>131</v>
      </c>
      <c r="AJ279">
        <v>0</v>
      </c>
      <c r="AK279" t="s">
        <v>131</v>
      </c>
      <c r="AL279" t="s">
        <v>132</v>
      </c>
      <c r="AM279" s="16">
        <f>IF(OR(AC279="Yes",K279="Info Request", K279="Side-Project"),0,(NETWORKDAYS(T279,U279,Holidays!A$2:A$13))-1)</f>
        <v>0</v>
      </c>
      <c r="AN279" s="16">
        <f>IF(OR(AC279="Yes",K279="Info Request", K279="Side-Project"),0,(NETWORKDAYS(U279,W279,Holidays!A$2:A$13))-1)</f>
        <v>0</v>
      </c>
      <c r="AO279" s="16">
        <f>IF(OR(V279="none"),0,((NETWORKDAYS(S279,V279,Holidays!A$2:A$13))-1))</f>
        <v>0</v>
      </c>
      <c r="AP279" s="16" t="b">
        <f t="shared" si="15"/>
        <v>1</v>
      </c>
      <c r="AQ279" s="16" t="b">
        <f t="shared" si="16"/>
        <v>1</v>
      </c>
      <c r="AR279" s="60" t="str">
        <f t="shared" si="17"/>
        <v>OK</v>
      </c>
      <c r="AS279" s="60" t="str">
        <f>IF(table_data[[#This Row],[Flagged-Issues]] = 0, "", table_data[[#This Row],[Flagged-Issues]])</f>
        <v/>
      </c>
    </row>
    <row r="280" spans="1:45" x14ac:dyDescent="0.25">
      <c r="A280" t="s">
        <v>29</v>
      </c>
      <c r="B280" t="s">
        <v>154</v>
      </c>
      <c r="C280" t="s">
        <v>122</v>
      </c>
      <c r="D280" s="65">
        <v>202503241047</v>
      </c>
      <c r="E280" t="s">
        <v>327</v>
      </c>
      <c r="F280" t="s">
        <v>173</v>
      </c>
      <c r="G280"/>
      <c r="H280" t="s">
        <v>508</v>
      </c>
      <c r="I280" t="s">
        <v>126</v>
      </c>
      <c r="J280" t="s">
        <v>167</v>
      </c>
      <c r="K280" t="s">
        <v>128</v>
      </c>
      <c r="L280">
        <v>3</v>
      </c>
      <c r="M280" t="s">
        <v>421</v>
      </c>
      <c r="N280">
        <v>2</v>
      </c>
      <c r="O280">
        <v>2</v>
      </c>
      <c r="P280"/>
      <c r="Q280">
        <v>31</v>
      </c>
      <c r="R280"/>
      <c r="S280" s="72">
        <v>45740</v>
      </c>
      <c r="T280" s="72">
        <v>45743</v>
      </c>
      <c r="U280" s="72">
        <v>45743</v>
      </c>
      <c r="V280" s="72" t="s">
        <v>130</v>
      </c>
      <c r="W280" s="72">
        <v>45769</v>
      </c>
      <c r="X280" s="72" t="s">
        <v>130</v>
      </c>
      <c r="Y280" t="s">
        <v>146</v>
      </c>
      <c r="Z280" t="s">
        <v>147</v>
      </c>
      <c r="AA280" t="s">
        <v>131</v>
      </c>
      <c r="AB280" t="s">
        <v>131</v>
      </c>
      <c r="AC280" t="s">
        <v>131</v>
      </c>
      <c r="AD280" t="s">
        <v>131</v>
      </c>
      <c r="AE280" t="s">
        <v>131</v>
      </c>
      <c r="AF280" t="s">
        <v>131</v>
      </c>
      <c r="AG280" t="s">
        <v>132</v>
      </c>
      <c r="AH280" t="s">
        <v>131</v>
      </c>
      <c r="AI280" t="s">
        <v>132</v>
      </c>
      <c r="AJ280">
        <v>0</v>
      </c>
      <c r="AK280" t="s">
        <v>131</v>
      </c>
      <c r="AL280" t="s">
        <v>148</v>
      </c>
      <c r="AM280" s="16">
        <f>IF(OR(AC280="Yes",K280="Info Request", K280="Side-Project"),0,(NETWORKDAYS(T280,U280,Holidays!A$2:A$13))-1)</f>
        <v>0</v>
      </c>
      <c r="AN280" s="16">
        <f>IF(OR(AC280="Yes",K280="Info Request", K280="Side-Project"),0,(NETWORKDAYS(U280,W280,Holidays!A$2:A$13))-1)</f>
        <v>16</v>
      </c>
      <c r="AO280" s="16">
        <f>IF(OR(V280="none"),0,((NETWORKDAYS(S280,V280,Holidays!A$2:A$13))-1))</f>
        <v>0</v>
      </c>
      <c r="AP280" s="16" t="b">
        <f t="shared" si="15"/>
        <v>1</v>
      </c>
      <c r="AQ280" s="16" t="b">
        <f t="shared" si="16"/>
        <v>1</v>
      </c>
      <c r="AR280" s="60" t="str">
        <f t="shared" si="17"/>
        <v>OK</v>
      </c>
      <c r="AS280" s="60" t="str">
        <f>IF(table_data[[#This Row],[Flagged-Issues]] = 0, "", table_data[[#This Row],[Flagged-Issues]])</f>
        <v/>
      </c>
    </row>
    <row r="281" spans="1:45" x14ac:dyDescent="0.25">
      <c r="A281" t="s">
        <v>29</v>
      </c>
      <c r="B281" t="s">
        <v>121</v>
      </c>
      <c r="C281" t="s">
        <v>122</v>
      </c>
      <c r="D281" s="65">
        <v>202504080833</v>
      </c>
      <c r="E281" t="s">
        <v>327</v>
      </c>
      <c r="F281" t="s">
        <v>173</v>
      </c>
      <c r="G281"/>
      <c r="H281" t="s">
        <v>508</v>
      </c>
      <c r="I281" t="s">
        <v>126</v>
      </c>
      <c r="J281" t="s">
        <v>136</v>
      </c>
      <c r="K281" t="s">
        <v>128</v>
      </c>
      <c r="L281">
        <v>2</v>
      </c>
      <c r="M281" t="s">
        <v>137</v>
      </c>
      <c r="N281">
        <v>2</v>
      </c>
      <c r="O281"/>
      <c r="P281"/>
      <c r="Q281"/>
      <c r="R281"/>
      <c r="S281" s="72">
        <v>45755</v>
      </c>
      <c r="T281" s="72">
        <v>45755</v>
      </c>
      <c r="U281" s="72">
        <v>45755</v>
      </c>
      <c r="V281" s="72" t="s">
        <v>130</v>
      </c>
      <c r="W281" s="72">
        <v>45755</v>
      </c>
      <c r="X281" s="72" t="s">
        <v>130</v>
      </c>
      <c r="Y281"/>
      <c r="Z281"/>
      <c r="AA281" t="s">
        <v>131</v>
      </c>
      <c r="AB281" t="s">
        <v>132</v>
      </c>
      <c r="AC281" t="s">
        <v>131</v>
      </c>
      <c r="AD281" t="s">
        <v>131</v>
      </c>
      <c r="AE281" t="s">
        <v>131</v>
      </c>
      <c r="AF281" t="s">
        <v>131</v>
      </c>
      <c r="AG281" t="s">
        <v>131</v>
      </c>
      <c r="AH281" t="s">
        <v>131</v>
      </c>
      <c r="AI281" t="s">
        <v>131</v>
      </c>
      <c r="AJ281">
        <v>0</v>
      </c>
      <c r="AK281" t="s">
        <v>131</v>
      </c>
      <c r="AL281" t="s">
        <v>132</v>
      </c>
      <c r="AM281" s="16">
        <f>IF(OR(AC281="Yes",K281="Info Request", K281="Side-Project"),0,(NETWORKDAYS(T281,U281,Holidays!A$2:A$13))-1)</f>
        <v>0</v>
      </c>
      <c r="AN281" s="16">
        <f>IF(OR(AC281="Yes",K281="Info Request", K281="Side-Project"),0,(NETWORKDAYS(U281,W281,Holidays!A$2:A$13))-1)</f>
        <v>0</v>
      </c>
      <c r="AO281" s="16">
        <f>IF(OR(V281="none"),0,((NETWORKDAYS(S281,V281,Holidays!A$2:A$13))-1))</f>
        <v>0</v>
      </c>
      <c r="AP281" s="16" t="b">
        <f t="shared" si="15"/>
        <v>1</v>
      </c>
      <c r="AQ281" s="16" t="b">
        <f t="shared" si="16"/>
        <v>1</v>
      </c>
      <c r="AR281" s="60" t="str">
        <f t="shared" si="17"/>
        <v>OK</v>
      </c>
      <c r="AS281" s="60" t="str">
        <f>IF(table_data[[#This Row],[Flagged-Issues]] = 0, "", table_data[[#This Row],[Flagged-Issues]])</f>
        <v/>
      </c>
    </row>
    <row r="282" spans="1:45" x14ac:dyDescent="0.25">
      <c r="A282" t="s">
        <v>29</v>
      </c>
      <c r="B282" t="s">
        <v>154</v>
      </c>
      <c r="C282" t="s">
        <v>122</v>
      </c>
      <c r="D282" s="65">
        <v>202504031311</v>
      </c>
      <c r="E282" t="s">
        <v>290</v>
      </c>
      <c r="F282" t="s">
        <v>139</v>
      </c>
      <c r="G282"/>
      <c r="H282" t="s">
        <v>509</v>
      </c>
      <c r="I282" t="s">
        <v>126</v>
      </c>
      <c r="J282" t="s">
        <v>136</v>
      </c>
      <c r="K282" t="s">
        <v>207</v>
      </c>
      <c r="L282">
        <v>1</v>
      </c>
      <c r="M282" t="s">
        <v>303</v>
      </c>
      <c r="N282"/>
      <c r="O282"/>
      <c r="P282"/>
      <c r="Q282">
        <v>2</v>
      </c>
      <c r="R282"/>
      <c r="S282" s="72">
        <v>45750</v>
      </c>
      <c r="T282" s="72">
        <v>45751</v>
      </c>
      <c r="U282" s="72">
        <v>45751</v>
      </c>
      <c r="V282" s="72" t="s">
        <v>130</v>
      </c>
      <c r="W282" s="72">
        <v>45751</v>
      </c>
      <c r="X282" s="72" t="s">
        <v>130</v>
      </c>
      <c r="Y282"/>
      <c r="Z282"/>
      <c r="AA282" t="s">
        <v>131</v>
      </c>
      <c r="AB282" t="s">
        <v>131</v>
      </c>
      <c r="AC282" t="s">
        <v>131</v>
      </c>
      <c r="AD282" t="s">
        <v>131</v>
      </c>
      <c r="AE282" t="s">
        <v>131</v>
      </c>
      <c r="AF282" t="s">
        <v>131</v>
      </c>
      <c r="AG282" t="s">
        <v>131</v>
      </c>
      <c r="AH282" t="s">
        <v>131</v>
      </c>
      <c r="AI282" t="s">
        <v>131</v>
      </c>
      <c r="AJ282">
        <v>0</v>
      </c>
      <c r="AK282" t="s">
        <v>131</v>
      </c>
      <c r="AL282" t="s">
        <v>132</v>
      </c>
      <c r="AM282" s="16">
        <f>IF(OR(AC282="Yes",K282="Info Request", K282="Side-Project"),0,(NETWORKDAYS(T282,U282,Holidays!A$2:A$13))-1)</f>
        <v>0</v>
      </c>
      <c r="AN282" s="16">
        <f>IF(OR(AC282="Yes",K282="Info Request", K282="Side-Project"),0,(NETWORKDAYS(U282,W282,Holidays!A$2:A$13))-1)</f>
        <v>0</v>
      </c>
      <c r="AO282" s="16">
        <f>IF(OR(V282="none"),0,((NETWORKDAYS(S282,V282,Holidays!A$2:A$13))-1))</f>
        <v>0</v>
      </c>
      <c r="AP282" s="16" t="b">
        <f t="shared" si="15"/>
        <v>1</v>
      </c>
      <c r="AQ282" s="16" t="b">
        <f t="shared" si="16"/>
        <v>1</v>
      </c>
      <c r="AR282" s="60" t="str">
        <f t="shared" si="17"/>
        <v>OK</v>
      </c>
      <c r="AS282" s="60" t="str">
        <f>IF(table_data[[#This Row],[Flagged-Issues]] = 0, "", table_data[[#This Row],[Flagged-Issues]])</f>
        <v/>
      </c>
    </row>
    <row r="283" spans="1:45" x14ac:dyDescent="0.25">
      <c r="A283" t="s">
        <v>29</v>
      </c>
      <c r="B283" t="s">
        <v>154</v>
      </c>
      <c r="C283" t="s">
        <v>122</v>
      </c>
      <c r="D283" s="65">
        <v>202504111352</v>
      </c>
      <c r="E283" t="s">
        <v>223</v>
      </c>
      <c r="F283" t="s">
        <v>173</v>
      </c>
      <c r="G283"/>
      <c r="H283" t="s">
        <v>510</v>
      </c>
      <c r="I283" t="s">
        <v>126</v>
      </c>
      <c r="J283" t="s">
        <v>136</v>
      </c>
      <c r="K283" t="s">
        <v>128</v>
      </c>
      <c r="L283">
        <v>2</v>
      </c>
      <c r="M283" t="s">
        <v>303</v>
      </c>
      <c r="N283">
        <v>2</v>
      </c>
      <c r="O283"/>
      <c r="P283"/>
      <c r="Q283"/>
      <c r="R283"/>
      <c r="S283" s="72">
        <v>45758</v>
      </c>
      <c r="T283" s="72">
        <v>45771</v>
      </c>
      <c r="U283" s="72">
        <v>45771</v>
      </c>
      <c r="V283" s="72" t="s">
        <v>130</v>
      </c>
      <c r="W283" s="72">
        <v>45771</v>
      </c>
      <c r="X283" s="72" t="s">
        <v>130</v>
      </c>
      <c r="Y283"/>
      <c r="Z283"/>
      <c r="AA283" t="s">
        <v>131</v>
      </c>
      <c r="AB283" t="s">
        <v>131</v>
      </c>
      <c r="AC283" t="s">
        <v>131</v>
      </c>
      <c r="AD283" t="s">
        <v>131</v>
      </c>
      <c r="AE283" t="s">
        <v>131</v>
      </c>
      <c r="AF283" t="s">
        <v>131</v>
      </c>
      <c r="AG283" t="s">
        <v>131</v>
      </c>
      <c r="AH283" t="s">
        <v>131</v>
      </c>
      <c r="AI283" t="s">
        <v>131</v>
      </c>
      <c r="AJ283">
        <v>0</v>
      </c>
      <c r="AK283" t="s">
        <v>131</v>
      </c>
      <c r="AL283" t="s">
        <v>132</v>
      </c>
      <c r="AM283" s="16">
        <f>IF(OR(AC283="Yes",K283="Info Request", K283="Side-Project"),0,(NETWORKDAYS(T283,U283,Holidays!A$2:A$13))-1)</f>
        <v>0</v>
      </c>
      <c r="AN283" s="16">
        <f>IF(OR(AC283="Yes",K283="Info Request", K283="Side-Project"),0,(NETWORKDAYS(U283,W283,Holidays!A$2:A$13))-1)</f>
        <v>0</v>
      </c>
      <c r="AO283" s="16">
        <f>IF(OR(V283="none"),0,((NETWORKDAYS(S283,V283,Holidays!A$2:A$13))-1))</f>
        <v>0</v>
      </c>
      <c r="AP283" s="16" t="b">
        <f t="shared" si="15"/>
        <v>1</v>
      </c>
      <c r="AQ283" s="16" t="b">
        <f t="shared" si="16"/>
        <v>1</v>
      </c>
      <c r="AR283" s="60" t="str">
        <f t="shared" si="17"/>
        <v>OK</v>
      </c>
      <c r="AS283" s="60" t="str">
        <f>IF(table_data[[#This Row],[Flagged-Issues]] = 0, "", table_data[[#This Row],[Flagged-Issues]])</f>
        <v/>
      </c>
    </row>
    <row r="284" spans="1:45" x14ac:dyDescent="0.25">
      <c r="A284" t="s">
        <v>29</v>
      </c>
      <c r="B284" t="s">
        <v>154</v>
      </c>
      <c r="C284" t="s">
        <v>122</v>
      </c>
      <c r="D284" s="65">
        <v>202504251000</v>
      </c>
      <c r="E284" t="s">
        <v>460</v>
      </c>
      <c r="F284" t="s">
        <v>124</v>
      </c>
      <c r="G284"/>
      <c r="H284" t="s">
        <v>511</v>
      </c>
      <c r="I284" t="s">
        <v>126</v>
      </c>
      <c r="J284" t="s">
        <v>151</v>
      </c>
      <c r="K284" t="s">
        <v>128</v>
      </c>
      <c r="L284">
        <v>2</v>
      </c>
      <c r="M284" t="s">
        <v>141</v>
      </c>
      <c r="N284">
        <v>2</v>
      </c>
      <c r="O284"/>
      <c r="P284"/>
      <c r="Q284">
        <v>1</v>
      </c>
      <c r="R284"/>
      <c r="S284" s="72">
        <v>45772</v>
      </c>
      <c r="T284" s="72">
        <v>45775</v>
      </c>
      <c r="U284" s="72">
        <v>45775</v>
      </c>
      <c r="V284" s="72" t="s">
        <v>130</v>
      </c>
      <c r="W284" s="72">
        <v>45775</v>
      </c>
      <c r="X284" s="72" t="s">
        <v>130</v>
      </c>
      <c r="Y284"/>
      <c r="Z284"/>
      <c r="AA284" t="s">
        <v>131</v>
      </c>
      <c r="AB284" t="s">
        <v>131</v>
      </c>
      <c r="AC284" t="s">
        <v>131</v>
      </c>
      <c r="AD284" t="s">
        <v>131</v>
      </c>
      <c r="AE284" t="s">
        <v>131</v>
      </c>
      <c r="AF284" t="s">
        <v>131</v>
      </c>
      <c r="AG284" t="s">
        <v>131</v>
      </c>
      <c r="AH284" t="s">
        <v>131</v>
      </c>
      <c r="AI284" t="s">
        <v>131</v>
      </c>
      <c r="AJ284">
        <v>0</v>
      </c>
      <c r="AK284" t="s">
        <v>131</v>
      </c>
      <c r="AL284" t="s">
        <v>132</v>
      </c>
      <c r="AM284" s="16">
        <f>IF(OR(AC284="Yes",K284="Info Request", K284="Side-Project"),0,(NETWORKDAYS(T284,U284,Holidays!A$2:A$13))-1)</f>
        <v>0</v>
      </c>
      <c r="AN284" s="16">
        <f>IF(OR(AC284="Yes",K284="Info Request", K284="Side-Project"),0,(NETWORKDAYS(U284,W284,Holidays!A$2:A$13))-1)</f>
        <v>0</v>
      </c>
      <c r="AO284" s="16">
        <f>IF(OR(V284="none"),0,((NETWORKDAYS(S284,V284,Holidays!A$2:A$13))-1))</f>
        <v>0</v>
      </c>
      <c r="AP284" s="16" t="b">
        <f t="shared" si="15"/>
        <v>1</v>
      </c>
      <c r="AQ284" s="16" t="b">
        <f t="shared" si="16"/>
        <v>1</v>
      </c>
      <c r="AR284" s="60" t="str">
        <f t="shared" si="17"/>
        <v>OK</v>
      </c>
      <c r="AS284" s="60" t="str">
        <f>IF(table_data[[#This Row],[Flagged-Issues]] = 0, "", table_data[[#This Row],[Flagged-Issues]])</f>
        <v/>
      </c>
    </row>
    <row r="285" spans="1:45" x14ac:dyDescent="0.25">
      <c r="A285" t="s">
        <v>104</v>
      </c>
      <c r="B285" t="s">
        <v>121</v>
      </c>
      <c r="C285" t="s">
        <v>122</v>
      </c>
      <c r="D285" s="65">
        <v>202504241518</v>
      </c>
      <c r="E285" t="s">
        <v>273</v>
      </c>
      <c r="F285" t="s">
        <v>134</v>
      </c>
      <c r="G285" t="s">
        <v>274</v>
      </c>
      <c r="H285" t="s">
        <v>512</v>
      </c>
      <c r="I285" t="s">
        <v>126</v>
      </c>
      <c r="J285" t="s">
        <v>190</v>
      </c>
      <c r="K285" t="s">
        <v>128</v>
      </c>
      <c r="L285">
        <v>1</v>
      </c>
      <c r="M285" t="s">
        <v>143</v>
      </c>
      <c r="N285">
        <v>2</v>
      </c>
      <c r="O285"/>
      <c r="P285"/>
      <c r="Q285"/>
      <c r="R285"/>
      <c r="S285" s="72">
        <v>45771</v>
      </c>
      <c r="T285" s="72">
        <v>45771</v>
      </c>
      <c r="U285" s="72">
        <v>45771</v>
      </c>
      <c r="V285" s="72" t="s">
        <v>130</v>
      </c>
      <c r="W285" s="72">
        <v>45771</v>
      </c>
      <c r="X285" s="72" t="s">
        <v>130</v>
      </c>
      <c r="Y285"/>
      <c r="Z285"/>
      <c r="AA285" t="s">
        <v>131</v>
      </c>
      <c r="AB285" t="s">
        <v>132</v>
      </c>
      <c r="AC285" t="s">
        <v>131</v>
      </c>
      <c r="AD285" t="s">
        <v>131</v>
      </c>
      <c r="AE285" t="s">
        <v>131</v>
      </c>
      <c r="AF285" t="s">
        <v>131</v>
      </c>
      <c r="AG285" t="s">
        <v>132</v>
      </c>
      <c r="AH285" t="s">
        <v>131</v>
      </c>
      <c r="AI285" t="s">
        <v>131</v>
      </c>
      <c r="AJ285">
        <v>0</v>
      </c>
      <c r="AK285" t="s">
        <v>131</v>
      </c>
      <c r="AL285" t="s">
        <v>132</v>
      </c>
      <c r="AM285" s="16">
        <f>IF(OR(AC285="Yes",K285="Info Request", K285="Side-Project"),0,(NETWORKDAYS(T285,U285,Holidays!A$2:A$13))-1)</f>
        <v>0</v>
      </c>
      <c r="AN285" s="16">
        <f>IF(OR(AC285="Yes",K285="Info Request", K285="Side-Project"),0,(NETWORKDAYS(U285,W285,Holidays!A$2:A$13))-1)</f>
        <v>0</v>
      </c>
      <c r="AO285" s="16">
        <f>IF(OR(V285="none"),0,((NETWORKDAYS(S285,V285,Holidays!A$2:A$13))-1))</f>
        <v>0</v>
      </c>
      <c r="AP285" s="16" t="b">
        <f t="shared" si="15"/>
        <v>1</v>
      </c>
      <c r="AQ285" s="16" t="b">
        <f t="shared" si="16"/>
        <v>1</v>
      </c>
      <c r="AR285" s="60" t="str">
        <f t="shared" si="17"/>
        <v>OK</v>
      </c>
      <c r="AS285" s="60" t="str">
        <f>IF(table_data[[#This Row],[Flagged-Issues]] = 0, "", table_data[[#This Row],[Flagged-Issues]])</f>
        <v/>
      </c>
    </row>
    <row r="286" spans="1:45" x14ac:dyDescent="0.25">
      <c r="A286" t="s">
        <v>29</v>
      </c>
      <c r="B286" t="s">
        <v>121</v>
      </c>
      <c r="C286" t="s">
        <v>122</v>
      </c>
      <c r="D286" s="65">
        <v>202503141430</v>
      </c>
      <c r="E286" t="s">
        <v>513</v>
      </c>
      <c r="F286" t="s">
        <v>173</v>
      </c>
      <c r="G286"/>
      <c r="H286" t="s">
        <v>514</v>
      </c>
      <c r="I286" t="s">
        <v>126</v>
      </c>
      <c r="J286" t="s">
        <v>167</v>
      </c>
      <c r="K286" t="s">
        <v>128</v>
      </c>
      <c r="L286">
        <v>2</v>
      </c>
      <c r="M286" t="s">
        <v>158</v>
      </c>
      <c r="N286">
        <v>2</v>
      </c>
      <c r="O286">
        <v>2</v>
      </c>
      <c r="P286"/>
      <c r="Q286">
        <v>1</v>
      </c>
      <c r="R286"/>
      <c r="S286" s="72">
        <v>45730</v>
      </c>
      <c r="T286" s="72">
        <v>45730</v>
      </c>
      <c r="U286" s="72">
        <v>45730</v>
      </c>
      <c r="V286" s="72" t="s">
        <v>130</v>
      </c>
      <c r="W286" s="72">
        <v>45772</v>
      </c>
      <c r="X286" s="72" t="s">
        <v>130</v>
      </c>
      <c r="Y286" t="s">
        <v>146</v>
      </c>
      <c r="Z286" t="s">
        <v>285</v>
      </c>
      <c r="AA286" t="s">
        <v>131</v>
      </c>
      <c r="AB286" t="s">
        <v>132</v>
      </c>
      <c r="AC286" t="s">
        <v>131</v>
      </c>
      <c r="AD286" t="s">
        <v>131</v>
      </c>
      <c r="AE286" t="s">
        <v>131</v>
      </c>
      <c r="AF286" t="s">
        <v>132</v>
      </c>
      <c r="AG286" t="s">
        <v>132</v>
      </c>
      <c r="AH286" t="s">
        <v>131</v>
      </c>
      <c r="AI286" t="s">
        <v>132</v>
      </c>
      <c r="AJ286">
        <v>0</v>
      </c>
      <c r="AK286" t="s">
        <v>132</v>
      </c>
      <c r="AL286" t="s">
        <v>148</v>
      </c>
      <c r="AM286" s="16">
        <f>IF(OR(AC286="Yes",K286="Info Request", K286="Side-Project"),0,(NETWORKDAYS(T286,U286,Holidays!A$2:A$13))-1)</f>
        <v>0</v>
      </c>
      <c r="AN286" s="16">
        <f>IF(OR(AC286="Yes",K286="Info Request", K286="Side-Project"),0,(NETWORKDAYS(U286,W286,Holidays!A$2:A$13))-1)</f>
        <v>28</v>
      </c>
      <c r="AO286" s="16">
        <f>IF(OR(V286="none"),0,((NETWORKDAYS(S286,V286,Holidays!A$2:A$13))-1))</f>
        <v>0</v>
      </c>
      <c r="AP286" s="16" t="b">
        <f t="shared" si="15"/>
        <v>1</v>
      </c>
      <c r="AQ286" s="16" t="b">
        <f t="shared" si="16"/>
        <v>1</v>
      </c>
      <c r="AR286" s="60" t="str">
        <f t="shared" si="17"/>
        <v>OK</v>
      </c>
      <c r="AS286" s="60" t="str">
        <f>IF(table_data[[#This Row],[Flagged-Issues]] = 0, "", table_data[[#This Row],[Flagged-Issues]])</f>
        <v/>
      </c>
    </row>
    <row r="287" spans="1:45" x14ac:dyDescent="0.25">
      <c r="A287" t="s">
        <v>29</v>
      </c>
      <c r="B287" t="s">
        <v>121</v>
      </c>
      <c r="C287" t="s">
        <v>122</v>
      </c>
      <c r="D287" s="65">
        <v>202504151308</v>
      </c>
      <c r="E287" t="s">
        <v>513</v>
      </c>
      <c r="F287" t="s">
        <v>173</v>
      </c>
      <c r="G287"/>
      <c r="H287" t="s">
        <v>515</v>
      </c>
      <c r="I287" t="s">
        <v>126</v>
      </c>
      <c r="J287" t="s">
        <v>151</v>
      </c>
      <c r="K287" t="s">
        <v>128</v>
      </c>
      <c r="L287">
        <v>2</v>
      </c>
      <c r="M287" t="s">
        <v>187</v>
      </c>
      <c r="N287">
        <v>2</v>
      </c>
      <c r="O287">
        <v>2</v>
      </c>
      <c r="P287"/>
      <c r="Q287"/>
      <c r="R287"/>
      <c r="S287" s="72">
        <v>45762</v>
      </c>
      <c r="T287" s="72">
        <v>45762</v>
      </c>
      <c r="U287" s="72">
        <v>45762</v>
      </c>
      <c r="V287" s="72" t="s">
        <v>130</v>
      </c>
      <c r="W287" s="72">
        <v>45763</v>
      </c>
      <c r="X287" s="72" t="s">
        <v>130</v>
      </c>
      <c r="Y287" t="s">
        <v>146</v>
      </c>
      <c r="Z287" t="s">
        <v>147</v>
      </c>
      <c r="AA287" t="s">
        <v>131</v>
      </c>
      <c r="AB287" t="s">
        <v>132</v>
      </c>
      <c r="AC287" t="s">
        <v>131</v>
      </c>
      <c r="AD287" t="s">
        <v>132</v>
      </c>
      <c r="AE287" t="s">
        <v>131</v>
      </c>
      <c r="AF287" t="s">
        <v>131</v>
      </c>
      <c r="AG287" t="s">
        <v>131</v>
      </c>
      <c r="AH287" t="s">
        <v>131</v>
      </c>
      <c r="AI287" t="s">
        <v>132</v>
      </c>
      <c r="AJ287">
        <v>0</v>
      </c>
      <c r="AK287" t="s">
        <v>132</v>
      </c>
      <c r="AL287" t="s">
        <v>148</v>
      </c>
      <c r="AM287" s="16">
        <f>IF(OR(AC287="Yes",K287="Info Request", K287="Side-Project"),0,(NETWORKDAYS(T287,U287,Holidays!A$2:A$13))-1)</f>
        <v>0</v>
      </c>
      <c r="AN287" s="16">
        <f>IF(OR(AC287="Yes",K287="Info Request", K287="Side-Project"),0,(NETWORKDAYS(U287,W287,Holidays!A$2:A$13))-1)</f>
        <v>1</v>
      </c>
      <c r="AO287" s="16">
        <f>IF(OR(V287="none"),0,((NETWORKDAYS(S287,V287,Holidays!A$2:A$13))-1))</f>
        <v>0</v>
      </c>
      <c r="AP287" s="16" t="b">
        <f t="shared" si="15"/>
        <v>1</v>
      </c>
      <c r="AQ287" s="16" t="b">
        <f t="shared" si="16"/>
        <v>1</v>
      </c>
      <c r="AR287" s="60" t="str">
        <f t="shared" si="17"/>
        <v>OK</v>
      </c>
      <c r="AS287" s="60" t="str">
        <f>IF(table_data[[#This Row],[Flagged-Issues]] = 0, "", table_data[[#This Row],[Flagged-Issues]])</f>
        <v/>
      </c>
    </row>
    <row r="288" spans="1:45" x14ac:dyDescent="0.25">
      <c r="A288" t="s">
        <v>29</v>
      </c>
      <c r="B288" t="s">
        <v>121</v>
      </c>
      <c r="C288" t="s">
        <v>122</v>
      </c>
      <c r="D288" s="65">
        <v>202504010811</v>
      </c>
      <c r="E288" t="s">
        <v>180</v>
      </c>
      <c r="F288" t="s">
        <v>173</v>
      </c>
      <c r="G288"/>
      <c r="H288" t="s">
        <v>516</v>
      </c>
      <c r="I288" t="s">
        <v>126</v>
      </c>
      <c r="J288" t="s">
        <v>145</v>
      </c>
      <c r="K288" t="s">
        <v>128</v>
      </c>
      <c r="L288">
        <v>2</v>
      </c>
      <c r="M288" t="s">
        <v>160</v>
      </c>
      <c r="N288">
        <v>2</v>
      </c>
      <c r="O288">
        <v>2</v>
      </c>
      <c r="P288"/>
      <c r="Q288"/>
      <c r="R288"/>
      <c r="S288" s="72">
        <v>45748</v>
      </c>
      <c r="T288" s="72">
        <v>45748</v>
      </c>
      <c r="U288" s="72">
        <v>45748</v>
      </c>
      <c r="V288" s="72" t="s">
        <v>130</v>
      </c>
      <c r="W288" s="72">
        <v>45748</v>
      </c>
      <c r="X288" s="72" t="s">
        <v>130</v>
      </c>
      <c r="Y288"/>
      <c r="Z288"/>
      <c r="AA288" t="s">
        <v>131</v>
      </c>
      <c r="AB288" t="s">
        <v>132</v>
      </c>
      <c r="AC288" t="s">
        <v>131</v>
      </c>
      <c r="AD288" t="s">
        <v>131</v>
      </c>
      <c r="AE288" t="s">
        <v>131</v>
      </c>
      <c r="AF288" t="s">
        <v>131</v>
      </c>
      <c r="AG288" t="s">
        <v>131</v>
      </c>
      <c r="AH288" t="s">
        <v>131</v>
      </c>
      <c r="AI288" t="s">
        <v>132</v>
      </c>
      <c r="AJ288">
        <v>0</v>
      </c>
      <c r="AK288" t="s">
        <v>131</v>
      </c>
      <c r="AL288" t="s">
        <v>132</v>
      </c>
      <c r="AM288" s="16">
        <f>IF(OR(AC288="Yes",K288="Info Request", K288="Side-Project"),0,(NETWORKDAYS(T288,U288,Holidays!A$2:A$13))-1)</f>
        <v>0</v>
      </c>
      <c r="AN288" s="16">
        <f>IF(OR(AC288="Yes",K288="Info Request", K288="Side-Project"),0,(NETWORKDAYS(U288,W288,Holidays!A$2:A$13))-1)</f>
        <v>0</v>
      </c>
      <c r="AO288" s="16">
        <f>IF(OR(V288="none"),0,((NETWORKDAYS(S288,V288,Holidays!A$2:A$13))-1))</f>
        <v>0</v>
      </c>
      <c r="AP288" s="16" t="b">
        <f t="shared" si="15"/>
        <v>1</v>
      </c>
      <c r="AQ288" s="16" t="b">
        <f t="shared" si="16"/>
        <v>1</v>
      </c>
      <c r="AR288" s="60" t="str">
        <f t="shared" si="17"/>
        <v>OK</v>
      </c>
      <c r="AS288" s="60" t="str">
        <f>IF(table_data[[#This Row],[Flagged-Issues]] = 0, "", table_data[[#This Row],[Flagged-Issues]])</f>
        <v/>
      </c>
    </row>
    <row r="289" spans="1:45" x14ac:dyDescent="0.25">
      <c r="A289" t="s">
        <v>29</v>
      </c>
      <c r="B289" t="s">
        <v>121</v>
      </c>
      <c r="C289" t="s">
        <v>122</v>
      </c>
      <c r="D289" s="65">
        <v>202504020821</v>
      </c>
      <c r="E289" t="s">
        <v>180</v>
      </c>
      <c r="F289" t="s">
        <v>173</v>
      </c>
      <c r="G289"/>
      <c r="H289" t="s">
        <v>517</v>
      </c>
      <c r="I289" t="s">
        <v>126</v>
      </c>
      <c r="J289" t="s">
        <v>145</v>
      </c>
      <c r="K289" t="s">
        <v>128</v>
      </c>
      <c r="L289">
        <v>2</v>
      </c>
      <c r="M289" t="s">
        <v>141</v>
      </c>
      <c r="N289">
        <v>2</v>
      </c>
      <c r="O289">
        <v>2</v>
      </c>
      <c r="P289"/>
      <c r="Q289"/>
      <c r="R289"/>
      <c r="S289" s="72">
        <v>45749</v>
      </c>
      <c r="T289" s="72">
        <v>45749</v>
      </c>
      <c r="U289" s="72">
        <v>45749</v>
      </c>
      <c r="V289" s="72" t="s">
        <v>130</v>
      </c>
      <c r="W289" s="72">
        <v>45749</v>
      </c>
      <c r="X289" s="72" t="s">
        <v>130</v>
      </c>
      <c r="Y289" t="s">
        <v>146</v>
      </c>
      <c r="Z289" t="s">
        <v>147</v>
      </c>
      <c r="AA289" t="s">
        <v>131</v>
      </c>
      <c r="AB289" t="s">
        <v>132</v>
      </c>
      <c r="AC289" t="s">
        <v>131</v>
      </c>
      <c r="AD289" t="s">
        <v>131</v>
      </c>
      <c r="AE289" t="s">
        <v>131</v>
      </c>
      <c r="AF289" t="s">
        <v>131</v>
      </c>
      <c r="AG289" t="s">
        <v>131</v>
      </c>
      <c r="AH289" t="s">
        <v>131</v>
      </c>
      <c r="AI289" t="s">
        <v>132</v>
      </c>
      <c r="AJ289">
        <v>0</v>
      </c>
      <c r="AK289" t="s">
        <v>132</v>
      </c>
      <c r="AL289" t="s">
        <v>148</v>
      </c>
      <c r="AM289" s="16">
        <f>IF(OR(AC289="Yes",K289="Info Request", K289="Side-Project"),0,(NETWORKDAYS(T289,U289,Holidays!A$2:A$13))-1)</f>
        <v>0</v>
      </c>
      <c r="AN289" s="16">
        <f>IF(OR(AC289="Yes",K289="Info Request", K289="Side-Project"),0,(NETWORKDAYS(U289,W289,Holidays!A$2:A$13))-1)</f>
        <v>0</v>
      </c>
      <c r="AO289" s="16">
        <f>IF(OR(V289="none"),0,((NETWORKDAYS(S289,V289,Holidays!A$2:A$13))-1))</f>
        <v>0</v>
      </c>
      <c r="AP289" s="16" t="b">
        <f t="shared" si="15"/>
        <v>1</v>
      </c>
      <c r="AQ289" s="16" t="b">
        <f t="shared" si="16"/>
        <v>1</v>
      </c>
      <c r="AR289" s="60" t="str">
        <f t="shared" si="17"/>
        <v>OK</v>
      </c>
      <c r="AS289" s="60" t="str">
        <f>IF(table_data[[#This Row],[Flagged-Issues]] = 0, "", table_data[[#This Row],[Flagged-Issues]])</f>
        <v/>
      </c>
    </row>
    <row r="290" spans="1:45" x14ac:dyDescent="0.25">
      <c r="A290" t="s">
        <v>29</v>
      </c>
      <c r="B290" t="s">
        <v>121</v>
      </c>
      <c r="C290" t="s">
        <v>122</v>
      </c>
      <c r="D290" s="65">
        <v>202504021009</v>
      </c>
      <c r="E290" t="s">
        <v>180</v>
      </c>
      <c r="F290" t="s">
        <v>173</v>
      </c>
      <c r="G290"/>
      <c r="H290" t="s">
        <v>518</v>
      </c>
      <c r="I290" t="s">
        <v>126</v>
      </c>
      <c r="J290" t="s">
        <v>145</v>
      </c>
      <c r="K290" t="s">
        <v>128</v>
      </c>
      <c r="L290">
        <v>2</v>
      </c>
      <c r="M290" t="s">
        <v>160</v>
      </c>
      <c r="N290">
        <v>2</v>
      </c>
      <c r="O290">
        <v>2</v>
      </c>
      <c r="P290"/>
      <c r="Q290"/>
      <c r="R290"/>
      <c r="S290" s="72">
        <v>45749</v>
      </c>
      <c r="T290" s="72">
        <v>45749</v>
      </c>
      <c r="U290" s="72">
        <v>45749</v>
      </c>
      <c r="V290" s="72" t="s">
        <v>130</v>
      </c>
      <c r="W290" s="72">
        <v>45749</v>
      </c>
      <c r="X290" s="72" t="s">
        <v>130</v>
      </c>
      <c r="Y290" t="s">
        <v>146</v>
      </c>
      <c r="Z290" t="s">
        <v>147</v>
      </c>
      <c r="AA290" t="s">
        <v>131</v>
      </c>
      <c r="AB290" t="s">
        <v>132</v>
      </c>
      <c r="AC290" t="s">
        <v>131</v>
      </c>
      <c r="AD290" t="s">
        <v>131</v>
      </c>
      <c r="AE290" t="s">
        <v>131</v>
      </c>
      <c r="AF290" t="s">
        <v>131</v>
      </c>
      <c r="AG290" t="s">
        <v>132</v>
      </c>
      <c r="AH290" t="s">
        <v>131</v>
      </c>
      <c r="AI290" t="s">
        <v>132</v>
      </c>
      <c r="AJ290">
        <v>0</v>
      </c>
      <c r="AK290" t="s">
        <v>131</v>
      </c>
      <c r="AL290" t="s">
        <v>148</v>
      </c>
      <c r="AM290" s="16">
        <f>IF(OR(AC290="Yes",K290="Info Request", K290="Side-Project"),0,(NETWORKDAYS(T290,U290,Holidays!A$2:A$13))-1)</f>
        <v>0</v>
      </c>
      <c r="AN290" s="16">
        <f>IF(OR(AC290="Yes",K290="Info Request", K290="Side-Project"),0,(NETWORKDAYS(U290,W290,Holidays!A$2:A$13))-1)</f>
        <v>0</v>
      </c>
      <c r="AO290" s="16">
        <f>IF(OR(V290="none"),0,((NETWORKDAYS(S290,V290,Holidays!A$2:A$13))-1))</f>
        <v>0</v>
      </c>
      <c r="AP290" s="16" t="b">
        <f t="shared" si="15"/>
        <v>1</v>
      </c>
      <c r="AQ290" s="16" t="b">
        <f t="shared" si="16"/>
        <v>1</v>
      </c>
      <c r="AR290" s="60" t="str">
        <f t="shared" si="17"/>
        <v>OK</v>
      </c>
      <c r="AS290" s="60" t="str">
        <f>IF(table_data[[#This Row],[Flagged-Issues]] = 0, "", table_data[[#This Row],[Flagged-Issues]])</f>
        <v/>
      </c>
    </row>
    <row r="291" spans="1:45" x14ac:dyDescent="0.25">
      <c r="A291" t="s">
        <v>29</v>
      </c>
      <c r="B291" t="s">
        <v>121</v>
      </c>
      <c r="C291" t="s">
        <v>122</v>
      </c>
      <c r="D291" s="65">
        <v>202504020811</v>
      </c>
      <c r="E291" t="s">
        <v>180</v>
      </c>
      <c r="F291" t="s">
        <v>173</v>
      </c>
      <c r="G291"/>
      <c r="H291" t="s">
        <v>519</v>
      </c>
      <c r="I291" t="s">
        <v>126</v>
      </c>
      <c r="J291" t="s">
        <v>249</v>
      </c>
      <c r="K291" t="s">
        <v>128</v>
      </c>
      <c r="L291">
        <v>2</v>
      </c>
      <c r="M291" t="s">
        <v>160</v>
      </c>
      <c r="N291">
        <v>2</v>
      </c>
      <c r="O291">
        <v>2</v>
      </c>
      <c r="P291"/>
      <c r="Q291"/>
      <c r="R291"/>
      <c r="S291" s="72">
        <v>45749</v>
      </c>
      <c r="T291" s="72">
        <v>45749</v>
      </c>
      <c r="U291" s="72">
        <v>45749</v>
      </c>
      <c r="V291" s="72" t="s">
        <v>130</v>
      </c>
      <c r="W291" s="72">
        <v>45749</v>
      </c>
      <c r="X291" s="72" t="s">
        <v>130</v>
      </c>
      <c r="Y291" t="s">
        <v>146</v>
      </c>
      <c r="Z291" t="s">
        <v>147</v>
      </c>
      <c r="AA291" t="s">
        <v>131</v>
      </c>
      <c r="AB291" t="s">
        <v>132</v>
      </c>
      <c r="AC291" t="s">
        <v>131</v>
      </c>
      <c r="AD291" t="s">
        <v>131</v>
      </c>
      <c r="AE291" t="s">
        <v>131</v>
      </c>
      <c r="AF291" t="s">
        <v>131</v>
      </c>
      <c r="AG291" t="s">
        <v>131</v>
      </c>
      <c r="AH291" t="s">
        <v>132</v>
      </c>
      <c r="AI291" t="s">
        <v>132</v>
      </c>
      <c r="AJ291">
        <v>0</v>
      </c>
      <c r="AK291" t="s">
        <v>131</v>
      </c>
      <c r="AL291" t="s">
        <v>148</v>
      </c>
      <c r="AM291" s="16">
        <f>IF(OR(AC291="Yes",K291="Info Request", K291="Side-Project"),0,(NETWORKDAYS(T291,U291,Holidays!A$2:A$13))-1)</f>
        <v>0</v>
      </c>
      <c r="AN291" s="16">
        <f>IF(OR(AC291="Yes",K291="Info Request", K291="Side-Project"),0,(NETWORKDAYS(U291,W291,Holidays!A$2:A$13))-1)</f>
        <v>0</v>
      </c>
      <c r="AO291" s="16">
        <f>IF(OR(V291="none"),0,((NETWORKDAYS(S291,V291,Holidays!A$2:A$13))-1))</f>
        <v>0</v>
      </c>
      <c r="AP291" s="16" t="b">
        <f t="shared" si="15"/>
        <v>1</v>
      </c>
      <c r="AQ291" s="16" t="b">
        <f t="shared" si="16"/>
        <v>1</v>
      </c>
      <c r="AR291" s="60" t="str">
        <f t="shared" si="17"/>
        <v>OK</v>
      </c>
      <c r="AS291" s="60" t="str">
        <f>IF(table_data[[#This Row],[Flagged-Issues]] = 0, "", table_data[[#This Row],[Flagged-Issues]])</f>
        <v/>
      </c>
    </row>
    <row r="292" spans="1:45" x14ac:dyDescent="0.25">
      <c r="A292" t="s">
        <v>29</v>
      </c>
      <c r="B292" t="s">
        <v>121</v>
      </c>
      <c r="C292" t="s">
        <v>122</v>
      </c>
      <c r="D292" s="65">
        <v>202504151536</v>
      </c>
      <c r="E292" t="s">
        <v>513</v>
      </c>
      <c r="F292" t="s">
        <v>173</v>
      </c>
      <c r="G292"/>
      <c r="H292" t="s">
        <v>520</v>
      </c>
      <c r="I292" t="s">
        <v>126</v>
      </c>
      <c r="J292" t="s">
        <v>136</v>
      </c>
      <c r="K292" t="s">
        <v>128</v>
      </c>
      <c r="L292">
        <v>2</v>
      </c>
      <c r="M292" t="s">
        <v>129</v>
      </c>
      <c r="N292">
        <v>2</v>
      </c>
      <c r="O292"/>
      <c r="P292"/>
      <c r="Q292">
        <v>1</v>
      </c>
      <c r="R292"/>
      <c r="S292" s="72">
        <v>45762</v>
      </c>
      <c r="T292" s="72">
        <v>45762</v>
      </c>
      <c r="U292" s="72">
        <v>45762</v>
      </c>
      <c r="V292" s="72" t="s">
        <v>130</v>
      </c>
      <c r="W292" s="72">
        <v>45763</v>
      </c>
      <c r="X292" s="72" t="s">
        <v>130</v>
      </c>
      <c r="Y292"/>
      <c r="Z292"/>
      <c r="AA292" t="s">
        <v>131</v>
      </c>
      <c r="AB292" t="s">
        <v>132</v>
      </c>
      <c r="AC292" t="s">
        <v>131</v>
      </c>
      <c r="AD292" t="s">
        <v>131</v>
      </c>
      <c r="AE292" t="s">
        <v>131</v>
      </c>
      <c r="AF292" t="s">
        <v>131</v>
      </c>
      <c r="AG292" t="s">
        <v>131</v>
      </c>
      <c r="AH292" t="s">
        <v>131</v>
      </c>
      <c r="AI292" t="s">
        <v>131</v>
      </c>
      <c r="AJ292">
        <v>0</v>
      </c>
      <c r="AK292" t="s">
        <v>131</v>
      </c>
      <c r="AL292" t="s">
        <v>132</v>
      </c>
      <c r="AM292" s="16">
        <f>IF(OR(AC292="Yes",K292="Info Request", K292="Side-Project"),0,(NETWORKDAYS(T292,U292,Holidays!A$2:A$13))-1)</f>
        <v>0</v>
      </c>
      <c r="AN292" s="16">
        <f>IF(OR(AC292="Yes",K292="Info Request", K292="Side-Project"),0,(NETWORKDAYS(U292,W292,Holidays!A$2:A$13))-1)</f>
        <v>1</v>
      </c>
      <c r="AO292" s="16">
        <f>IF(OR(V292="none"),0,((NETWORKDAYS(S292,V292,Holidays!A$2:A$13))-1))</f>
        <v>0</v>
      </c>
      <c r="AP292" s="16" t="b">
        <f t="shared" si="15"/>
        <v>1</v>
      </c>
      <c r="AQ292" s="16" t="b">
        <f t="shared" si="16"/>
        <v>1</v>
      </c>
      <c r="AR292" s="60" t="str">
        <f t="shared" si="17"/>
        <v>OK</v>
      </c>
      <c r="AS292" s="60" t="str">
        <f>IF(table_data[[#This Row],[Flagged-Issues]] = 0, "", table_data[[#This Row],[Flagged-Issues]])</f>
        <v/>
      </c>
    </row>
  </sheetData>
  <phoneticPr fontId="7" type="noConversion"/>
  <pageMargins left="0.7" right="0.7" top="0.75" bottom="0.75" header="0.3" footer="0.3"/>
  <pageSetup paperSize="5" scale="34" fitToHeight="0" orientation="landscape" horizontalDpi="1200" verticalDpi="12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B13"/>
  <sheetViews>
    <sheetView workbookViewId="0"/>
  </sheetViews>
  <sheetFormatPr defaultRowHeight="15" x14ac:dyDescent="0.25"/>
  <cols>
    <col min="1" max="1" width="10.7109375" customWidth="1"/>
    <col min="2" max="2" width="22.140625" customWidth="1"/>
  </cols>
  <sheetData>
    <row r="1" spans="1:2" x14ac:dyDescent="0.25">
      <c r="A1" s="22" t="s">
        <v>50</v>
      </c>
      <c r="B1" s="22" t="s">
        <v>51</v>
      </c>
    </row>
    <row r="2" spans="1:2" x14ac:dyDescent="0.25">
      <c r="A2" s="25">
        <v>45658</v>
      </c>
      <c r="B2" s="26" t="s">
        <v>52</v>
      </c>
    </row>
    <row r="3" spans="1:2" x14ac:dyDescent="0.25">
      <c r="A3" s="1">
        <v>45765</v>
      </c>
      <c r="B3" s="23" t="s">
        <v>53</v>
      </c>
    </row>
    <row r="4" spans="1:2" x14ac:dyDescent="0.25">
      <c r="A4" s="1">
        <v>45768</v>
      </c>
      <c r="B4" s="23" t="s">
        <v>54</v>
      </c>
    </row>
    <row r="5" spans="1:2" x14ac:dyDescent="0.25">
      <c r="A5" s="1">
        <v>45432</v>
      </c>
      <c r="B5" s="23" t="s">
        <v>55</v>
      </c>
    </row>
    <row r="6" spans="1:2" x14ac:dyDescent="0.25">
      <c r="A6" s="25">
        <v>45474</v>
      </c>
      <c r="B6" s="26" t="s">
        <v>56</v>
      </c>
    </row>
    <row r="7" spans="1:2" x14ac:dyDescent="0.25">
      <c r="A7" s="24">
        <v>45509</v>
      </c>
      <c r="B7" s="23" t="s">
        <v>57</v>
      </c>
    </row>
    <row r="8" spans="1:2" x14ac:dyDescent="0.25">
      <c r="A8" s="24">
        <v>45537</v>
      </c>
      <c r="B8" s="23" t="s">
        <v>58</v>
      </c>
    </row>
    <row r="9" spans="1:2" ht="30" x14ac:dyDescent="0.25">
      <c r="A9" s="24">
        <v>45565</v>
      </c>
      <c r="B9" s="23" t="s">
        <v>99</v>
      </c>
    </row>
    <row r="10" spans="1:2" x14ac:dyDescent="0.25">
      <c r="A10" s="24">
        <v>45579</v>
      </c>
      <c r="B10" s="23" t="s">
        <v>59</v>
      </c>
    </row>
    <row r="11" spans="1:2" x14ac:dyDescent="0.25">
      <c r="A11" s="25">
        <v>45607</v>
      </c>
      <c r="B11" s="26" t="s">
        <v>60</v>
      </c>
    </row>
    <row r="12" spans="1:2" x14ac:dyDescent="0.25">
      <c r="A12" s="25">
        <v>45651</v>
      </c>
      <c r="B12" s="26" t="s">
        <v>61</v>
      </c>
    </row>
    <row r="13" spans="1:2" x14ac:dyDescent="0.25">
      <c r="A13" s="25">
        <v>45652</v>
      </c>
      <c r="B13" s="26" t="s">
        <v>62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"/>
  <sheetViews>
    <sheetView workbookViewId="0"/>
  </sheetViews>
  <sheetFormatPr defaultRowHeight="15" x14ac:dyDescent="0.25"/>
  <cols>
    <col min="1" max="1" width="88.140625" bestFit="1" customWidth="1"/>
    <col min="2" max="2" width="17.85546875" bestFit="1" customWidth="1"/>
  </cols>
  <sheetData>
    <row r="1" spans="1:1" x14ac:dyDescent="0.25">
      <c r="A1" t="s">
        <v>66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2:B2"/>
  <sheetViews>
    <sheetView workbookViewId="0"/>
  </sheetViews>
  <sheetFormatPr defaultRowHeight="15" x14ac:dyDescent="0.25"/>
  <cols>
    <col min="2" max="2" width="51.28515625" bestFit="1" customWidth="1"/>
  </cols>
  <sheetData>
    <row r="2" spans="1:2" x14ac:dyDescent="0.25">
      <c r="A2" t="s">
        <v>72</v>
      </c>
      <c r="B2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coder</vt:lpstr>
      <vt:lpstr>Upd-New-Del</vt:lpstr>
      <vt:lpstr>triager</vt:lpstr>
      <vt:lpstr>QA</vt:lpstr>
      <vt:lpstr>client</vt:lpstr>
      <vt:lpstr>requests</vt:lpstr>
      <vt:lpstr>p6 workplan</vt:lpstr>
      <vt:lpstr>crisis-data</vt:lpstr>
      <vt:lpstr>data</vt:lpstr>
      <vt:lpstr>Holidays</vt:lpstr>
      <vt:lpstr>Notes</vt:lpstr>
      <vt:lpstr>calculations</vt:lpstr>
    </vt:vector>
  </TitlesOfParts>
  <Company>CIC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Galipeau.Louis</dc:creator>
  <cp:lastModifiedBy>Essiambre, Cynthia (IRCC/IRCC) (she, her | elle, la)</cp:lastModifiedBy>
  <cp:lastPrinted>2019-10-03T14:40:41Z</cp:lastPrinted>
  <dcterms:created xsi:type="dcterms:W3CDTF">2017-02-02T19:18:45Z</dcterms:created>
  <dcterms:modified xsi:type="dcterms:W3CDTF">2025-05-02T18:04:55Z</dcterms:modified>
</cp:coreProperties>
</file>