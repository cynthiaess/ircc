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ynthia.essiambre\AppData\Roaming\OpenText\OTEdit\EC_GCdocs2\c128083075\"/>
    </mc:Choice>
  </mc:AlternateContent>
  <xr:revisionPtr revIDLastSave="0" documentId="13_ncr:1_{4A15BB9E-6D11-4AC6-B4DA-EB851ED104F9}" xr6:coauthVersionLast="47" xr6:coauthVersionMax="47" xr10:uidLastSave="{00000000-0000-0000-0000-000000000000}"/>
  <bookViews>
    <workbookView xWindow="-120" yWindow="-120" windowWidth="29040" windowHeight="15840" xr2:uid="{D329802F-398C-4423-93AC-6ADEC1FDAB49}"/>
  </bookViews>
  <sheets>
    <sheet name="summary" sheetId="10" r:id="rId1"/>
    <sheet name="SLA" sheetId="5" r:id="rId2"/>
    <sheet name="upd-new-del" sheetId="11" r:id="rId3"/>
    <sheet name="2025-2026 data " sheetId="9" r:id="rId4"/>
    <sheet name="Holidays" sheetId="3" r:id="rId5"/>
  </sheets>
  <calcPr calcId="191029"/>
  <pivotCaches>
    <pivotCache cacheId="8" r:id="rId6"/>
    <pivotCache cacheId="1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G4" i="10"/>
  <c r="V45" i="9" l="1"/>
  <c r="V25" i="9"/>
  <c r="V12" i="9"/>
  <c r="V20" i="9"/>
  <c r="V21" i="9"/>
  <c r="V26" i="9"/>
  <c r="V2" i="9"/>
  <c r="V22" i="9"/>
  <c r="V27" i="9"/>
  <c r="V3" i="9"/>
  <c r="V13" i="9"/>
  <c r="V28" i="9"/>
  <c r="V29" i="9"/>
  <c r="V4" i="9"/>
  <c r="V30" i="9"/>
  <c r="V14" i="9"/>
  <c r="V31" i="9"/>
  <c r="V5" i="9"/>
  <c r="V15" i="9"/>
  <c r="V32" i="9"/>
  <c r="V6" i="9"/>
  <c r="V23" i="9"/>
  <c r="V7" i="9"/>
  <c r="V8" i="9"/>
  <c r="V33" i="9"/>
  <c r="V54" i="9"/>
  <c r="V55" i="9"/>
  <c r="V9" i="9"/>
  <c r="V34" i="9"/>
  <c r="V35" i="9"/>
  <c r="V36" i="9"/>
  <c r="V37" i="9"/>
  <c r="V10" i="9"/>
  <c r="V38" i="9"/>
  <c r="V16" i="9"/>
  <c r="V17" i="9"/>
  <c r="V39" i="9"/>
  <c r="V40" i="9"/>
  <c r="V11" i="9"/>
  <c r="V41" i="9"/>
  <c r="V42" i="9"/>
  <c r="V43" i="9"/>
  <c r="V44" i="9"/>
  <c r="V46" i="9"/>
  <c r="V18" i="9"/>
  <c r="V47" i="9"/>
  <c r="V24" i="9"/>
  <c r="V48" i="9"/>
  <c r="V49" i="9"/>
  <c r="V50" i="9"/>
  <c r="V51" i="9"/>
  <c r="V19" i="9"/>
  <c r="V52" i="9"/>
  <c r="V53" i="9"/>
  <c r="T12" i="9"/>
  <c r="T20" i="9"/>
  <c r="T21" i="9"/>
  <c r="T26" i="9"/>
  <c r="T2" i="9"/>
  <c r="T22" i="9"/>
  <c r="T27" i="9"/>
  <c r="T3" i="9"/>
  <c r="T13" i="9"/>
  <c r="T28" i="9"/>
  <c r="T29" i="9"/>
  <c r="T4" i="9"/>
  <c r="T30" i="9"/>
  <c r="T14" i="9"/>
  <c r="T31" i="9"/>
  <c r="T5" i="9"/>
  <c r="T15" i="9"/>
  <c r="T32" i="9"/>
  <c r="T6" i="9"/>
  <c r="T23" i="9"/>
  <c r="T7" i="9"/>
  <c r="T8" i="9"/>
  <c r="T33" i="9"/>
  <c r="T54" i="9"/>
  <c r="T55" i="9"/>
  <c r="T9" i="9"/>
  <c r="T34" i="9"/>
  <c r="T35" i="9"/>
  <c r="T36" i="9"/>
  <c r="T37" i="9"/>
  <c r="T10" i="9"/>
  <c r="T38" i="9"/>
  <c r="T16" i="9"/>
  <c r="T17" i="9"/>
  <c r="T39" i="9"/>
  <c r="T40" i="9"/>
  <c r="T11" i="9"/>
  <c r="T41" i="9"/>
  <c r="T42" i="9"/>
  <c r="T43" i="9"/>
  <c r="T44" i="9"/>
  <c r="T45" i="9"/>
  <c r="W45" i="9" s="1"/>
  <c r="T46" i="9"/>
  <c r="T18" i="9"/>
  <c r="T47" i="9"/>
  <c r="T24" i="9"/>
  <c r="T48" i="9"/>
  <c r="T49" i="9"/>
  <c r="T50" i="9"/>
  <c r="T51" i="9"/>
  <c r="T19" i="9"/>
  <c r="T52" i="9"/>
  <c r="T53" i="9"/>
  <c r="U12" i="9"/>
  <c r="U20" i="9"/>
  <c r="U21" i="9"/>
  <c r="U26" i="9"/>
  <c r="U2" i="9"/>
  <c r="U22" i="9"/>
  <c r="U27" i="9"/>
  <c r="U3" i="9"/>
  <c r="U13" i="9"/>
  <c r="U28" i="9"/>
  <c r="U29" i="9"/>
  <c r="U4" i="9"/>
  <c r="U30" i="9"/>
  <c r="U14" i="9"/>
  <c r="U31" i="9"/>
  <c r="U5" i="9"/>
  <c r="U15" i="9"/>
  <c r="U32" i="9"/>
  <c r="U6" i="9"/>
  <c r="U23" i="9"/>
  <c r="U7" i="9"/>
  <c r="U8" i="9"/>
  <c r="U33" i="9"/>
  <c r="U54" i="9"/>
  <c r="U55" i="9"/>
  <c r="U9" i="9"/>
  <c r="U34" i="9"/>
  <c r="U35" i="9"/>
  <c r="U36" i="9"/>
  <c r="U37" i="9"/>
  <c r="U10" i="9"/>
  <c r="U38" i="9"/>
  <c r="U16" i="9"/>
  <c r="U17" i="9"/>
  <c r="U39" i="9"/>
  <c r="U40" i="9"/>
  <c r="U11" i="9"/>
  <c r="U41" i="9"/>
  <c r="U42" i="9"/>
  <c r="U43" i="9"/>
  <c r="U44" i="9"/>
  <c r="U45" i="9"/>
  <c r="U46" i="9"/>
  <c r="U18" i="9"/>
  <c r="U47" i="9"/>
  <c r="U24" i="9"/>
  <c r="U48" i="9"/>
  <c r="U49" i="9"/>
  <c r="U50" i="9"/>
  <c r="U51" i="9"/>
  <c r="U19" i="9"/>
  <c r="U52" i="9"/>
  <c r="U53" i="9"/>
  <c r="W12" i="9"/>
  <c r="W20" i="9"/>
  <c r="W21" i="9"/>
  <c r="W26" i="9"/>
  <c r="W2" i="9"/>
  <c r="W22" i="9"/>
  <c r="W27" i="9"/>
  <c r="W3" i="9"/>
  <c r="W13" i="9"/>
  <c r="W28" i="9"/>
  <c r="W29" i="9"/>
  <c r="W4" i="9"/>
  <c r="W30" i="9"/>
  <c r="W14" i="9"/>
  <c r="W31" i="9"/>
  <c r="W5" i="9"/>
  <c r="W15" i="9"/>
  <c r="W32" i="9"/>
  <c r="W6" i="9"/>
  <c r="W23" i="9"/>
  <c r="W7" i="9"/>
  <c r="W8" i="9"/>
  <c r="W33" i="9"/>
  <c r="W54" i="9"/>
  <c r="W55" i="9"/>
  <c r="W9" i="9"/>
  <c r="W34" i="9"/>
  <c r="W35" i="9"/>
  <c r="W36" i="9"/>
  <c r="W37" i="9"/>
  <c r="W10" i="9"/>
  <c r="W38" i="9"/>
  <c r="W16" i="9"/>
  <c r="W17" i="9"/>
  <c r="W39" i="9"/>
  <c r="W40" i="9"/>
  <c r="W11" i="9"/>
  <c r="W41" i="9"/>
  <c r="W42" i="9"/>
  <c r="W43" i="9"/>
  <c r="W44" i="9"/>
  <c r="W46" i="9"/>
  <c r="W18" i="9"/>
  <c r="W47" i="9"/>
  <c r="W24" i="9"/>
  <c r="W48" i="9"/>
  <c r="W49" i="9"/>
  <c r="W50" i="9"/>
  <c r="W51" i="9"/>
  <c r="W19" i="9"/>
  <c r="W52" i="9"/>
  <c r="W53" i="9"/>
  <c r="Y19" i="10"/>
  <c r="X19" i="10"/>
  <c r="W19" i="10"/>
  <c r="Z19" i="10" s="1"/>
  <c r="U19" i="10"/>
  <c r="T19" i="10"/>
  <c r="S19" i="10"/>
  <c r="V19" i="10" s="1"/>
  <c r="Q19" i="10"/>
  <c r="P19" i="10"/>
  <c r="R19" i="10" s="1"/>
  <c r="O19" i="10"/>
  <c r="M19" i="10"/>
  <c r="L19" i="10"/>
  <c r="N19" i="10" s="1"/>
  <c r="K19" i="10"/>
  <c r="I19" i="10"/>
  <c r="H19" i="10"/>
  <c r="G19" i="10"/>
  <c r="J19" i="10" s="1"/>
  <c r="E19" i="10"/>
  <c r="D19" i="10"/>
  <c r="F19" i="10" s="1"/>
  <c r="C19" i="10"/>
  <c r="Y15" i="10"/>
  <c r="X15" i="10"/>
  <c r="W15" i="10"/>
  <c r="Z15" i="10" s="1"/>
  <c r="U15" i="10"/>
  <c r="T15" i="10"/>
  <c r="V15" i="10" s="1"/>
  <c r="S15" i="10"/>
  <c r="Q15" i="10"/>
  <c r="P15" i="10"/>
  <c r="O15" i="10"/>
  <c r="R15" i="10" s="1"/>
  <c r="M15" i="10"/>
  <c r="L15" i="10"/>
  <c r="N15" i="10" s="1"/>
  <c r="K15" i="10"/>
  <c r="I15" i="10"/>
  <c r="H15" i="10"/>
  <c r="G15" i="10"/>
  <c r="J15" i="10" s="1"/>
  <c r="E15" i="10"/>
  <c r="D15" i="10"/>
  <c r="F15" i="10" s="1"/>
  <c r="C15" i="10"/>
  <c r="Y11" i="10"/>
  <c r="X11" i="10"/>
  <c r="W11" i="10"/>
  <c r="Z11" i="10" s="1"/>
  <c r="U11" i="10"/>
  <c r="T11" i="10"/>
  <c r="V11" i="10" s="1"/>
  <c r="S11" i="10"/>
  <c r="Q11" i="10"/>
  <c r="P11" i="10"/>
  <c r="O11" i="10"/>
  <c r="R11" i="10" s="1"/>
  <c r="M11" i="10"/>
  <c r="L11" i="10"/>
  <c r="N11" i="10" s="1"/>
  <c r="K11" i="10"/>
  <c r="I11" i="10"/>
  <c r="H11" i="10"/>
  <c r="G11" i="10"/>
  <c r="J11" i="10" s="1"/>
  <c r="E11" i="10"/>
  <c r="D11" i="10"/>
  <c r="F11" i="10" s="1"/>
  <c r="C11" i="10"/>
  <c r="Y7" i="10"/>
  <c r="X7" i="10"/>
  <c r="W7" i="10"/>
  <c r="U7" i="10"/>
  <c r="T7" i="10"/>
  <c r="S7" i="10"/>
  <c r="Q7" i="10"/>
  <c r="P7" i="10"/>
  <c r="O7" i="10"/>
  <c r="M7" i="10"/>
  <c r="L7" i="10"/>
  <c r="K7" i="10"/>
  <c r="I7" i="10"/>
  <c r="H7" i="10"/>
  <c r="G7" i="10"/>
  <c r="E7" i="10"/>
  <c r="D7" i="10"/>
  <c r="C7" i="10"/>
  <c r="J7" i="10" l="1"/>
  <c r="Z7" i="10"/>
  <c r="V7" i="10"/>
  <c r="R7" i="10"/>
  <c r="N7" i="10"/>
  <c r="F7" i="10"/>
  <c r="U25" i="9" l="1"/>
  <c r="T25" i="9"/>
  <c r="W25" i="9" s="1"/>
</calcChain>
</file>

<file path=xl/sharedStrings.xml><?xml version="1.0" encoding="utf-8"?>
<sst xmlns="http://schemas.openxmlformats.org/spreadsheetml/2006/main" count="450" uniqueCount="190">
  <si>
    <t>Name</t>
  </si>
  <si>
    <t>Created At</t>
  </si>
  <si>
    <t>Start Date</t>
  </si>
  <si>
    <t>Staging date</t>
  </si>
  <si>
    <t>Due Date</t>
  </si>
  <si>
    <t>Completed At</t>
  </si>
  <si>
    <t>Assignee</t>
  </si>
  <si>
    <t>Task parameters</t>
  </si>
  <si>
    <t>Task Priority - web</t>
  </si>
  <si>
    <t>Coding complexity</t>
  </si>
  <si>
    <t>Client</t>
  </si>
  <si>
    <t>New Pages</t>
  </si>
  <si>
    <t>Updated Pages</t>
  </si>
  <si>
    <t>Task Type</t>
  </si>
  <si>
    <t>Source</t>
  </si>
  <si>
    <t>Deleted Pages</t>
  </si>
  <si>
    <t>Supporting Files</t>
  </si>
  <si>
    <t>Deleted Supporting Files</t>
  </si>
  <si>
    <t>Staging to Live</t>
  </si>
  <si>
    <t>Coding days</t>
  </si>
  <si>
    <t>Meet SLA</t>
  </si>
  <si>
    <t>Date</t>
  </si>
  <si>
    <t>Holiday</t>
  </si>
  <si>
    <t>New Year's Day</t>
  </si>
  <si>
    <t>Good Friday</t>
  </si>
  <si>
    <t>Easter Monday</t>
  </si>
  <si>
    <t>Victoria Day</t>
  </si>
  <si>
    <t>Canada Day</t>
  </si>
  <si>
    <t>Civic Holiday</t>
  </si>
  <si>
    <t>Labour Day</t>
  </si>
  <si>
    <t>National Day for Truth and Reconciliation</t>
  </si>
  <si>
    <t>Thanksgiving Day</t>
  </si>
  <si>
    <t>Remembrance Day</t>
  </si>
  <si>
    <t>Christmas Day</t>
  </si>
  <si>
    <t>Boxing Day</t>
  </si>
  <si>
    <t>Row Labels</t>
  </si>
  <si>
    <t>Grand Total</t>
  </si>
  <si>
    <t>Start date to staging</t>
  </si>
  <si>
    <t>Count of Name</t>
  </si>
  <si>
    <t>Month</t>
  </si>
  <si>
    <t># requests</t>
  </si>
  <si>
    <t>SLA %</t>
  </si>
  <si>
    <t># New pages</t>
  </si>
  <si>
    <t># Updated pages</t>
  </si>
  <si>
    <t># Deleted pages</t>
  </si>
  <si>
    <t>Last minute requests</t>
  </si>
  <si>
    <t xml:space="preserve">Inter </t>
  </si>
  <si>
    <t>Intra</t>
  </si>
  <si>
    <t>News</t>
  </si>
  <si>
    <t>All</t>
  </si>
  <si>
    <t>Inter</t>
  </si>
  <si>
    <t xml:space="preserve">News </t>
  </si>
  <si>
    <t>April 2025</t>
  </si>
  <si>
    <t>May 2025</t>
  </si>
  <si>
    <t>June 2025</t>
  </si>
  <si>
    <t>Q1</t>
  </si>
  <si>
    <t>July 2025</t>
  </si>
  <si>
    <t>August 2025</t>
  </si>
  <si>
    <t>September 2025</t>
  </si>
  <si>
    <t>Q2</t>
  </si>
  <si>
    <t>October 2025</t>
  </si>
  <si>
    <t>November 2025</t>
  </si>
  <si>
    <t>December 2025</t>
  </si>
  <si>
    <t>Q3</t>
  </si>
  <si>
    <t>January 2026</t>
  </si>
  <si>
    <t>February 2026</t>
  </si>
  <si>
    <t>March 2026</t>
  </si>
  <si>
    <t>Q4</t>
  </si>
  <si>
    <t>NOTES:</t>
  </si>
  <si>
    <t>Fill data in green cells only</t>
  </si>
  <si>
    <t>This is a static table based on reported stats</t>
  </si>
  <si>
    <t>Time Spent</t>
  </si>
  <si>
    <t>Weekly PTT update</t>
  </si>
  <si>
    <t>Maninder pal Kaur</t>
  </si>
  <si>
    <t>Priority 1</t>
  </si>
  <si>
    <t>Alejandro Fuenmayor, Phil Fernandez, Simran Gill</t>
  </si>
  <si>
    <t>Update (Basic)</t>
  </si>
  <si>
    <t>External</t>
  </si>
  <si>
    <t>P1 - April 1st - Use of Representative - Deleting 6 pages and setting redirects</t>
  </si>
  <si>
    <t>John Jamora</t>
  </si>
  <si>
    <t>Viviane Umutesi</t>
  </si>
  <si>
    <t>P3 - Typo on Committee Appearances</t>
  </si>
  <si>
    <t>Krzysztof Cyga</t>
  </si>
  <si>
    <t>Karine Bédard</t>
  </si>
  <si>
    <t>For posting (P1, tmrw): EE - points alert</t>
  </si>
  <si>
    <t>Danna El-Arab</t>
  </si>
  <si>
    <t>Subway</t>
  </si>
  <si>
    <t>CSCA Web Page Update</t>
  </si>
  <si>
    <t>Priority 2</t>
  </si>
  <si>
    <t>File Upload</t>
  </si>
  <si>
    <t>P1 - Staged April 2 – DLI Urgent de-designation - QC - Cestar College</t>
  </si>
  <si>
    <t>Birinder Singh</t>
  </si>
  <si>
    <t xml:space="preserve">Beatrice Angulo </t>
  </si>
  <si>
    <t>P1 - Fix discrepancy between languages - Find out if you need a work permit</t>
  </si>
  <si>
    <t>Liza Hamilton</t>
  </si>
  <si>
    <t>Field Flow</t>
  </si>
  <si>
    <t>P1 - April 8 - EE Help Centre update</t>
  </si>
  <si>
    <t>HC Task</t>
  </si>
  <si>
    <t>Tracy Dransfield</t>
  </si>
  <si>
    <t xml:space="preserve">P1: Proactive Disclosure regarding SOCI on Bill C-71, An Act to Amend the Citizenship Act - December 5, 2024 </t>
  </si>
  <si>
    <t>Cynthia Essiambre</t>
  </si>
  <si>
    <t>Requires QA</t>
  </si>
  <si>
    <t>Jean-Pierre Friquin</t>
  </si>
  <si>
    <t>Corporate</t>
  </si>
  <si>
    <t xml:space="preserve">P1 - March 25 - LMIA updates (tentative) </t>
  </si>
  <si>
    <t>Requires QA, Last minute</t>
  </si>
  <si>
    <t>Internet-Pub Overflow</t>
  </si>
  <si>
    <t>P2 - March 26, 4pm - CX: Staffing Action Planner #10</t>
  </si>
  <si>
    <t xml:space="preserve">Ajay Nair </t>
  </si>
  <si>
    <t>Internal</t>
  </si>
  <si>
    <t>P2 - Connexion ROT- Citizenship - 0 page views - March 21</t>
  </si>
  <si>
    <t>Erin O'Brien</t>
  </si>
  <si>
    <t>ROT TASK</t>
  </si>
  <si>
    <t>P1 - April 8 - EE CRS tool - incorrect points</t>
  </si>
  <si>
    <t>CAS/CCC weekly update</t>
  </si>
  <si>
    <t xml:space="preserve">Candace Mantha </t>
  </si>
  <si>
    <t>P1 - April 11th - Removing use of representative include from 8 guides</t>
  </si>
  <si>
    <t>(SLA) - Updating TR medial requirements</t>
  </si>
  <si>
    <t>HC Task, Cancelled</t>
  </si>
  <si>
    <t>Team pub and enterprise stats</t>
  </si>
  <si>
    <t>Gabrielle Michaud</t>
  </si>
  <si>
    <t>Non-Publishing Tasks</t>
  </si>
  <si>
    <t>P1 - April 11th - Updating PDF form for IMM 0193</t>
  </si>
  <si>
    <t xml:space="preserve">Viviane Umutesi </t>
  </si>
  <si>
    <t>P2 - EOD Monday the 24th - CITO Page</t>
  </si>
  <si>
    <t xml:space="preserve">Egor </t>
  </si>
  <si>
    <t>Custom Coding</t>
  </si>
  <si>
    <t>Progressive enhancement / js disabled message for EE rounds pages</t>
  </si>
  <si>
    <t>Priority 3</t>
  </si>
  <si>
    <t>Maintenance</t>
  </si>
  <si>
    <t>P2 Apr 9 - Broken links on Look for jobs in Canada + Driving in Canada pages</t>
  </si>
  <si>
    <t xml:space="preserve">Nadya Rustandjaja </t>
  </si>
  <si>
    <t xml:space="preserve">Asylum stats coder </t>
  </si>
  <si>
    <t>Last minute, Requires OT</t>
  </si>
  <si>
    <t>Egor Evseev</t>
  </si>
  <si>
    <t>Question: IEC Microsite Quiz Logic</t>
  </si>
  <si>
    <t>Alejandro Fuenmayor, Phil Fernandez</t>
  </si>
  <si>
    <t>P3 - April 2 - Connexion update - About IRCC - International Affairs - Reports from missions - December batch</t>
  </si>
  <si>
    <t>Ruby McDowell</t>
  </si>
  <si>
    <t xml:space="preserve">Jessica Blanchard </t>
  </si>
  <si>
    <t>Process for HTML coding of POR Reports- 2024-25 IRCC Online Tracking Survey</t>
  </si>
  <si>
    <t>John van Weringh (he | il)</t>
  </si>
  <si>
    <t>Maintenance - Fix Discover Canada pages responsiveness</t>
  </si>
  <si>
    <t>Adding Account Guidance Instructions to WAG</t>
  </si>
  <si>
    <t xml:space="preserve">Michael Arthur </t>
  </si>
  <si>
    <t>Updating WAG with New Asana Optimization Updates</t>
  </si>
  <si>
    <t>Cancelled</t>
  </si>
  <si>
    <t>Michael Arthur</t>
  </si>
  <si>
    <t>P1 - April 11th - Minor updates to PR card and PRTD pages</t>
  </si>
  <si>
    <t>Enterprise Stat Optimization and guidance</t>
  </si>
  <si>
    <t>P1 - (Apr 14 8am) - Fees - Biometrics fee update</t>
  </si>
  <si>
    <t>EE #342</t>
  </si>
  <si>
    <t>OSC MIBS / MISA CSO (IRCC)</t>
  </si>
  <si>
    <t>Publishing IRCC's new Departmental Sustainable Development Strategy 2023-2027 - TOP URGENT</t>
  </si>
  <si>
    <t>Elie Abiraad, Geneviève Beaulé</t>
  </si>
  <si>
    <t>P1 - Due COB Feb 18 - Departmental Sustainable Development Strategy update part 1 of 2</t>
  </si>
  <si>
    <t>Nicholas Carriere</t>
  </si>
  <si>
    <t>P1 - April 14th - Updating PDF for IMM5406</t>
  </si>
  <si>
    <t>P2 - (Apr 14) - Scan for iran include and remove from some pages</t>
  </si>
  <si>
    <t>P2 - IEC - In-Canada Printing - Live April 16</t>
  </si>
  <si>
    <t>Sean Mueller</t>
  </si>
  <si>
    <t>P2 - April 14 - FTA tool result fix - Spain result</t>
  </si>
  <si>
    <t>Beatrice Angulo</t>
  </si>
  <si>
    <t>P2 - Connexion ROT - Governance - Extra files - April 8</t>
  </si>
  <si>
    <t>Malika Rozon-Richer</t>
  </si>
  <si>
    <t>GCMS Reporting Page Issue</t>
  </si>
  <si>
    <t xml:space="preserve">Amy Foulkes, Alex Shannon </t>
  </si>
  <si>
    <t>P1 - April 16th - Deleting a paragraph in form IMM 0008</t>
  </si>
  <si>
    <t>P1 - April 16 - Updating FR PDF for form IMM 0270</t>
  </si>
  <si>
    <t>P2 - Connexion ROT - Travel, hospitality and conferences - April 24</t>
  </si>
  <si>
    <t>HTML coding of POR report: 2024-25 IRCC Telephone-to-Online Tracking Surveys</t>
  </si>
  <si>
    <t>John van Weringh</t>
  </si>
  <si>
    <t>P1 - April 16th - Adding visa requirements to PR travel page + updating HC question</t>
  </si>
  <si>
    <t>P2 - April 25 -  Cit - language proof HC Q link updates</t>
  </si>
  <si>
    <t xml:space="preserve">Aloisa Santos </t>
  </si>
  <si>
    <t>P2 - Find out if you need a Visa tool (simple edits) - Add Transit - Staged by COB</t>
  </si>
  <si>
    <t>Publishing team</t>
  </si>
  <si>
    <t>P1 - April 16th - Upload updated PDF version for form IMM 5707</t>
  </si>
  <si>
    <t>P1 - April 28 - Remove Work permit question on SP H2A</t>
  </si>
  <si>
    <t>Emilien Maubant</t>
  </si>
  <si>
    <t xml:space="preserve">MichaelArthur </t>
  </si>
  <si>
    <t>TRUE</t>
  </si>
  <si>
    <t>(All)</t>
  </si>
  <si>
    <t>Apr</t>
  </si>
  <si>
    <t>Meets SLA</t>
  </si>
  <si>
    <t>Sum of New Pages</t>
  </si>
  <si>
    <t>Sum of Updated Pages</t>
  </si>
  <si>
    <t>Sum of Deleted Pages</t>
  </si>
  <si>
    <t>#requests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</si>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</sst>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%"/>
  </numFmts>
  <fonts count="6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42424"/>
      <name val="Arial Unicode MS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9" fontId="5" fillId="0" borderId="0" applyFon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2" fillId="0" borderId="0" xfId="0" applyFont="1" applyAlignment="1">
      <alignment wrapText="1"/>
    </xf>
    <xf numFmtId="14" fontId="1" fillId="2" borderId="0" xfId="1" applyNumberFormat="1"/>
    <xf numFmtId="0" fontId="1" fillId="2" borderId="0" xfId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NumberFormat="1"/>
    <xf numFmtId="0" fontId="4" fillId="6" borderId="2" xfId="0" applyFont="1" applyFill="1" applyBorder="1"/>
    <xf numFmtId="0" fontId="4" fillId="6" borderId="3" xfId="0" applyFont="1" applyFill="1" applyBorder="1"/>
    <xf numFmtId="164" fontId="4" fillId="6" borderId="3" xfId="0" applyNumberFormat="1" applyFont="1" applyFill="1" applyBorder="1"/>
    <xf numFmtId="0" fontId="4" fillId="3" borderId="3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right"/>
    </xf>
    <xf numFmtId="0" fontId="4" fillId="3" borderId="3" xfId="0" applyFont="1" applyFill="1" applyBorder="1"/>
    <xf numFmtId="164" fontId="0" fillId="0" borderId="0" xfId="0" applyNumberFormat="1"/>
    <xf numFmtId="9" fontId="0" fillId="0" borderId="0" xfId="2" applyFont="1"/>
    <xf numFmtId="0" fontId="2" fillId="0" borderId="0" xfId="0" applyFont="1"/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5" xfId="0" quotePrefix="1" applyBorder="1"/>
    <xf numFmtId="0" fontId="0" fillId="7" borderId="6" xfId="0" applyFill="1" applyBorder="1"/>
    <xf numFmtId="0" fontId="0" fillId="0" borderId="6" xfId="0" applyBorder="1"/>
    <xf numFmtId="165" fontId="0" fillId="7" borderId="6" xfId="0" applyNumberFormat="1" applyFill="1" applyBorder="1"/>
    <xf numFmtId="165" fontId="0" fillId="0" borderId="6" xfId="0" applyNumberFormat="1" applyBorder="1"/>
    <xf numFmtId="0" fontId="0" fillId="0" borderId="7" xfId="0" applyBorder="1"/>
    <xf numFmtId="0" fontId="0" fillId="7" borderId="5" xfId="0" applyFill="1" applyBorder="1"/>
    <xf numFmtId="0" fontId="0" fillId="0" borderId="11" xfId="0" quotePrefix="1" applyBorder="1"/>
    <xf numFmtId="0" fontId="0" fillId="7" borderId="12" xfId="0" applyFill="1" applyBorder="1"/>
    <xf numFmtId="0" fontId="0" fillId="0" borderId="12" xfId="0" applyBorder="1"/>
    <xf numFmtId="165" fontId="0" fillId="7" borderId="12" xfId="0" applyNumberFormat="1" applyFill="1" applyBorder="1"/>
    <xf numFmtId="165" fontId="0" fillId="0" borderId="12" xfId="0" applyNumberFormat="1" applyBorder="1"/>
    <xf numFmtId="0" fontId="0" fillId="0" borderId="13" xfId="0" applyBorder="1"/>
    <xf numFmtId="0" fontId="0" fillId="7" borderId="14" xfId="0" applyFill="1" applyBorder="1"/>
    <xf numFmtId="0" fontId="0" fillId="7" borderId="15" xfId="0" applyFill="1" applyBorder="1"/>
    <xf numFmtId="0" fontId="0" fillId="0" borderId="16" xfId="0" applyBorder="1"/>
    <xf numFmtId="0" fontId="0" fillId="0" borderId="17" xfId="0" applyBorder="1" applyAlignment="1">
      <alignment horizontal="right"/>
    </xf>
    <xf numFmtId="0" fontId="0" fillId="0" borderId="18" xfId="0" applyBorder="1"/>
    <xf numFmtId="165" fontId="0" fillId="0" borderId="18" xfId="0" applyNumberFormat="1" applyBorder="1"/>
    <xf numFmtId="0" fontId="0" fillId="0" borderId="19" xfId="0" applyBorder="1"/>
    <xf numFmtId="0" fontId="0" fillId="0" borderId="14" xfId="0" quotePrefix="1" applyBorder="1"/>
    <xf numFmtId="165" fontId="0" fillId="7" borderId="20" xfId="0" applyNumberFormat="1" applyFill="1" applyBorder="1"/>
    <xf numFmtId="165" fontId="0" fillId="7" borderId="15" xfId="0" applyNumberFormat="1" applyFill="1" applyBorder="1"/>
    <xf numFmtId="0" fontId="0" fillId="0" borderId="15" xfId="0" applyBorder="1"/>
    <xf numFmtId="165" fontId="0" fillId="7" borderId="15" xfId="2" applyNumberFormat="1" applyFont="1" applyFill="1" applyBorder="1"/>
    <xf numFmtId="165" fontId="0" fillId="0" borderId="15" xfId="0" applyNumberFormat="1" applyBorder="1"/>
    <xf numFmtId="0" fontId="0" fillId="7" borderId="11" xfId="0" applyFill="1" applyBorder="1"/>
    <xf numFmtId="165" fontId="0" fillId="0" borderId="0" xfId="0" applyNumberFormat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4" xfId="0" applyNumberFormat="1" applyFont="1" applyFill="1" applyBorder="1" applyAlignment="1">
      <alignment horizontal="right"/>
    </xf>
    <xf numFmtId="0" fontId="3" fillId="4" borderId="4" xfId="0" applyNumberFormat="1" applyFont="1" applyFill="1" applyBorder="1" applyAlignment="1">
      <alignment vertical="center"/>
    </xf>
    <xf numFmtId="0" fontId="0" fillId="0" borderId="0" xfId="0" applyAlignment="1">
      <alignment horizontal="left" indent="1"/>
    </xf>
    <xf numFmtId="0" fontId="3" fillId="4" borderId="1" xfId="0" applyNumberFormat="1" applyFont="1" applyFill="1" applyBorder="1" applyAlignment="1">
      <alignment vertical="center"/>
    </xf>
    <xf numFmtId="0" fontId="3" fillId="5" borderId="4" xfId="0" applyFont="1" applyFill="1" applyBorder="1" applyAlignment="1">
      <alignment vertical="center"/>
    </xf>
    <xf numFmtId="165" fontId="0" fillId="7" borderId="6" xfId="0" quotePrefix="1" applyNumberFormat="1" applyFill="1" applyBorder="1"/>
  </cellXfs>
  <cellStyles count="3">
    <cellStyle name="Good" xfId="1" builtinId="26"/>
    <cellStyle name="Normal" xfId="0" builtinId="0"/>
    <cellStyle name="Percent" xfId="2" builtinId="5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Arial Unicode MS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E2EFDA"/>
        </patternFill>
      </fill>
      <alignment horizontal="right" vertical="bottom" textRotation="0" wrapText="0" indent="0" justifyLastLine="0" shrinkToFit="0" readingOrder="0"/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siambre, Cynthia (IRCC/IRCC)" refreshedDate="45779.576073611111" createdVersion="8" refreshedVersion="8" minRefreshableVersion="3" recordCount="54" xr:uid="{B2CE8218-3F58-479A-B2E6-FBCBB8D8F12F}">
  <cacheSource type="worksheet">
    <worksheetSource name="Table22"/>
  </cacheSource>
  <cacheFields count="26">
    <cacheField name="Name" numFmtId="0">
      <sharedItems/>
    </cacheField>
    <cacheField name="Created At" numFmtId="14">
      <sharedItems containsSemiMixedTypes="0" containsNonDate="0" containsDate="1" containsString="0" minDate="2023-09-15T00:00:00" maxDate="2025-04-25T00:00:00"/>
    </cacheField>
    <cacheField name="Start Date" numFmtId="14">
      <sharedItems containsSemiMixedTypes="0" containsNonDate="0" containsDate="1" containsString="0" minDate="2023-09-14T00:00:00" maxDate="2025-04-26T00:00:00"/>
    </cacheField>
    <cacheField name="Staging date" numFmtId="14">
      <sharedItems containsSemiMixedTypes="0" containsNonDate="0" containsDate="1" containsString="0" minDate="2023-09-15T00:00:00" maxDate="2025-04-26T00:00:00"/>
    </cacheField>
    <cacheField name="Due Date" numFmtId="0">
      <sharedItems containsNonDate="0" containsDate="1" containsString="0" containsBlank="1" minDate="2025-03-21T00:00:00" maxDate="2025-05-31T00:00:00"/>
    </cacheField>
    <cacheField name="Completed At" numFmtId="14">
      <sharedItems containsSemiMixedTypes="0" containsNonDate="0" containsDate="1" containsString="0" minDate="2024-04-02T00:00:00" maxDate="2025-04-29T00:00:00" count="221"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22T00:00:00"/>
        <d v="2025-04-23T00:00:00"/>
        <d v="2025-04-24T00:00:00"/>
        <d v="2025-04-25T00:00:00"/>
        <d v="2025-04-28T00:00:00"/>
        <d v="2025-01-01T00:00:00" u="1"/>
        <d v="2024-09-13T00:00:00" u="1"/>
        <d v="2025-03-02T00:00:00" u="1"/>
        <d v="2025-02-04T00:00:00" u="1"/>
        <d v="2024-04-10T00:00:00" u="1"/>
        <d v="2024-05-01T00:00:00" u="1"/>
        <d v="2024-07-05T00:00:00" u="1"/>
        <d v="2024-10-16T00:00:00" u="1"/>
        <d v="2024-05-17T00:00:00" u="1"/>
        <d v="2025-01-09T00:00:00" u="1"/>
        <d v="2025-01-13T00:00:00" u="1"/>
        <d v="2024-06-11T00:00:00" u="1"/>
        <d v="2025-01-14T00:00:00" u="1"/>
        <d v="2025-01-23T00:00:00" u="1"/>
        <d v="2025-01-30T00:00:00" u="1"/>
        <d v="2025-01-28T00:00:00" u="1"/>
        <d v="2025-02-07T00:00:00" u="1"/>
        <d v="2025-02-21T00:00:00" u="1"/>
        <d v="2024-07-29T00:00:00" u="1"/>
        <d v="2025-01-10T00:00:00" u="1"/>
        <d v="2024-07-10T00:00:00" u="1"/>
        <d v="2025-02-26T00:00:00" u="1"/>
        <d v="2025-02-27T00:00:00" u="1"/>
        <d v="2024-10-18T00:00:00" u="1"/>
        <d v="2024-10-15T00:00:00" u="1"/>
        <d v="2024-05-09T00:00:00" u="1"/>
        <d v="2024-08-06T00:00:00" u="1"/>
        <d v="2024-06-04T00:00:00" u="1"/>
        <d v="2024-06-12T00:00:00" u="1"/>
        <d v="2024-06-19T00:00:00" u="1"/>
        <d v="2024-06-20T00:00:00" u="1"/>
        <d v="2024-06-25T00:00:00" u="1"/>
        <d v="2024-09-03T00:00:00" u="1"/>
        <d v="2024-07-03T00:00:00" u="1"/>
        <d v="2024-07-08T00:00:00" u="1"/>
        <d v="2024-07-12T00:00:00" u="1"/>
        <d v="2024-07-16T00:00:00" u="1"/>
        <d v="2024-10-08T00:00:00" u="1"/>
        <d v="2024-07-19T00:00:00" u="1"/>
        <d v="2024-07-25T00:00:00" u="1"/>
        <d v="2024-08-07T00:00:00" u="1"/>
        <d v="2024-08-08T00:00:00" u="1"/>
        <d v="2024-08-13T00:00:00" u="1"/>
        <d v="2024-08-15T00:00:00" u="1"/>
        <d v="2024-08-19T00:00:00" u="1"/>
        <d v="2024-08-27T00:00:00" u="1"/>
        <d v="2024-08-28T00:00:00" u="1"/>
        <d v="2025-02-11T00:00:00" u="1"/>
        <d v="2025-02-12T00:00:00" u="1"/>
        <d v="2025-02-14T00:00:00" u="1"/>
        <d v="2025-02-25T00:00:00" u="1"/>
        <d v="2024-09-10T00:00:00" u="1"/>
        <d v="2024-09-16T00:00:00" u="1"/>
        <d v="2024-09-17T00:00:00" u="1"/>
        <d v="2024-09-18T00:00:00" u="1"/>
        <d v="2024-09-24T00:00:00" u="1"/>
        <d v="2024-10-09T00:00:00" u="1"/>
        <d v="2024-11-28T00:00:00" u="1"/>
        <d v="2024-12-11T00:00:00" u="1"/>
        <d v="2024-12-13T00:00:00" u="1"/>
        <d v="2024-12-15T00:00:00" u="1"/>
        <d v="2024-12-27T00:00:00" u="1"/>
        <d v="2025-01-07T00:00:00" u="1"/>
        <d v="2025-01-16T00:00:00" u="1"/>
        <d v="2025-01-31T00:00:00" u="1"/>
        <d v="2025-03-10T00:00:00" u="1"/>
        <d v="2024-04-04T00:00:00" u="1"/>
        <d v="2024-04-05T00:00:00" u="1"/>
        <d v="2024-04-09T00:00:00" u="1"/>
        <d v="2024-04-16T00:00:00" u="1"/>
        <d v="2024-04-17T00:00:00" u="1"/>
        <d v="2024-04-22T00:00:00" u="1"/>
        <d v="2024-04-25T00:00:00" u="1"/>
        <d v="2024-04-26T00:00:00" u="1"/>
        <d v="2024-04-30T00:00:00" u="1"/>
        <d v="2024-05-02T00:00:00" u="1"/>
        <d v="2024-05-06T00:00:00" u="1"/>
        <d v="2024-05-08T00:00:00" u="1"/>
        <d v="2024-05-15T00:00:00" u="1"/>
        <d v="2024-05-16T00:00:00" u="1"/>
        <d v="2024-05-23T00:00:00" u="1"/>
        <d v="2024-05-24T00:00:00" u="1"/>
        <d v="2024-05-27T00:00:00" u="1"/>
        <d v="2024-05-28T00:00:00" u="1"/>
        <d v="2024-06-24T00:00:00" u="1"/>
        <d v="2025-01-15T00:00:00" u="1"/>
        <d v="2024-07-18T00:00:00" u="1"/>
        <d v="2024-07-31T00:00:00" u="1"/>
        <d v="2024-08-22T00:00:00" u="1"/>
        <d v="2024-08-26T00:00:00" u="1"/>
        <d v="2024-09-04T00:00:00" u="1"/>
        <d v="2024-12-23T00:00:00" u="1"/>
        <d v="2024-04-11T00:00:00" u="1"/>
        <d v="2024-05-03T00:00:00" u="1"/>
        <d v="2024-06-03T00:00:00" u="1"/>
        <d v="2025-01-21T00:00:00" u="1"/>
        <d v="2025-02-10T00:00:00" u="1"/>
        <d v="2025-02-19T00:00:00" u="1"/>
        <d v="2025-02-24T00:00:00" u="1"/>
        <d v="2025-03-03T00:00:00" u="1"/>
        <d v="2025-03-04T00:00:00" u="1"/>
        <d v="2025-03-07T00:00:00" u="1"/>
        <d v="2025-03-11T00:00:00" u="1"/>
        <d v="2024-05-29T00:00:00" u="1"/>
        <d v="2024-06-07T00:00:00" u="1"/>
        <d v="2024-06-21T00:00:00" u="1"/>
        <d v="2024-06-27T00:00:00" u="1"/>
        <d v="2024-07-11T00:00:00" u="1"/>
        <d v="2024-08-20T00:00:00" u="1"/>
        <d v="2024-07-22T00:00:00" u="1"/>
        <d v="2024-07-24T00:00:00" u="1"/>
        <d v="2024-09-20T00:00:00" u="1"/>
        <d v="2024-07-30T00:00:00" u="1"/>
        <d v="2024-08-02T00:00:00" u="1"/>
        <d v="2024-11-29T00:00:00" u="1"/>
        <d v="2024-12-18T00:00:00" u="1"/>
        <d v="2024-12-19T00:00:00" u="1"/>
        <d v="2024-08-12T00:00:00" u="1"/>
        <d v="2024-08-29T00:00:00" u="1"/>
        <d v="2024-08-30T00:00:00" u="1"/>
        <d v="2024-10-10T00:00:00" u="1"/>
        <d v="2024-11-26T00:00:00" u="1"/>
        <d v="2024-12-05T00:00:00" u="1"/>
        <d v="2024-04-03T00:00:00" u="1"/>
        <d v="2024-04-19T00:00:00" u="1"/>
        <d v="2024-04-23T00:00:00" u="1"/>
        <d v="2024-04-24T00:00:00" u="1"/>
        <d v="2024-04-29T00:00:00" u="1"/>
        <d v="2024-06-06T00:00:00" u="1"/>
        <d v="2024-07-04T00:00:00" u="1"/>
        <d v="2024-07-17T00:00:00" u="1"/>
        <d v="2024-07-23T00:00:00" u="1"/>
        <d v="2024-08-09T00:00:00" u="1"/>
        <d v="2024-04-15T00:00:00" u="1"/>
        <d v="2024-05-10T00:00:00" u="1"/>
        <d v="2024-05-30T00:00:00" u="1"/>
        <d v="2024-05-31T00:00:00" u="1"/>
        <d v="2024-06-17T00:00:00" u="1"/>
        <d v="2024-06-26T00:00:00" u="1"/>
        <d v="2024-07-15T00:00:00" u="1"/>
        <d v="2024-08-01T00:00:00" u="1"/>
        <d v="2024-08-16T00:00:00" u="1"/>
        <d v="2024-08-23T00:00:00" u="1"/>
        <d v="2024-09-23T00:00:00" u="1"/>
        <d v="2024-09-06T00:00:00" u="1"/>
        <d v="2024-09-09T00:00:00" u="1"/>
        <d v="2024-09-12T00:00:00" u="1"/>
        <d v="2024-09-19T00:00:00" u="1"/>
        <d v="2024-09-26T00:00:00" u="1"/>
        <d v="2024-10-01T00:00:00" u="1"/>
        <d v="2024-10-02T00:00:00" u="1"/>
        <d v="2024-10-07T00:00:00" u="1"/>
        <d v="2024-12-03T00:00:00" u="1"/>
        <d v="2024-11-19T00:00:00" u="1"/>
        <d v="2024-11-20T00:00:00" u="1"/>
        <d v="2024-11-25T00:00:00" u="1"/>
        <d v="2024-12-02T00:00:00" u="1"/>
        <d v="2024-12-06T00:00:00" u="1"/>
        <d v="2024-12-16T00:00:00" u="1"/>
        <d v="2025-01-20T00:00:00" u="1"/>
        <d v="2024-12-17T00:00:00" u="1"/>
        <d v="2024-12-24T00:00:00" u="1"/>
        <d v="2024-12-30T00:00:00" u="1"/>
        <d v="2024-12-31T00:00:00" u="1"/>
        <d v="2025-01-02T00:00:00" u="1"/>
        <d v="2025-01-06T00:00:00" u="1"/>
        <d v="2025-01-22T00:00:00" u="1"/>
        <d v="2025-01-27T00:00:00" u="1"/>
        <d v="2025-02-03T00:00:00" u="1"/>
        <d v="2025-02-05T00:00:00" u="1"/>
        <d v="2025-03-26T00:00:00" u="1"/>
        <d v="2024-11-22T00:00:00" u="1"/>
        <d v="2024-09-25T00:00:00" u="1"/>
        <d v="2024-09-27T00:00:00" u="1"/>
        <d v="2024-10-03T00:00:00" u="1"/>
        <d v="2024-10-04T00:00:00" u="1"/>
        <d v="2024-12-04T00:00:00" u="1"/>
        <d v="2024-12-10T00:00:00" u="1"/>
        <d v="2024-12-12T00:00:00" u="1"/>
        <d v="2024-04-02T00:00:00" u="1"/>
        <d v="2024-12-20T00:00:00" u="1"/>
        <d v="2025-01-08T00:00:00" u="1"/>
        <d v="2025-01-17T00:00:00" u="1"/>
        <d v="2025-01-24T00:00:00" u="1"/>
        <d v="2025-01-29T00:00:00" u="1"/>
        <d v="2025-02-06T00:00:00" u="1"/>
        <d v="2025-02-17T00:00:00" u="1"/>
        <d v="2025-02-20T00:00:00" u="1"/>
        <d v="2025-02-18T00:00:00" u="1"/>
        <d v="2025-03-05T00:00:00" u="1"/>
        <d v="2025-03-06T00:00:00" u="1"/>
        <d v="2024-05-07T00:00:00" u="1"/>
        <d v="2024-05-14T00:00:00" u="1"/>
        <d v="2024-06-05T00:00:00" u="1"/>
        <d v="2024-06-13T00:00:00" u="1"/>
        <d v="2024-12-09T00:00:00" u="1"/>
        <d v="2024-06-14T00:00:00" u="1"/>
        <d v="2024-07-02T00:00:00" u="1"/>
        <d v="2024-06-28T00:00:00" u="1"/>
        <d v="2024-07-09T00:00:00" u="1"/>
        <d v="2024-07-26T00:00:00" u="1"/>
        <d v="2024-08-14T00:00:00" u="1"/>
        <d v="2024-09-11T00:00:00" u="1"/>
      </sharedItems>
      <fieldGroup par="25"/>
    </cacheField>
    <cacheField name="Assignee" numFmtId="0">
      <sharedItems count="6">
        <s v="Maninder pal Kaur"/>
        <s v="John Jamora"/>
        <s v="Krzysztof Cyga"/>
        <s v="Birinder Singh"/>
        <s v="Cynthia Essiambre"/>
        <s v="Ruby McDowell"/>
      </sharedItems>
    </cacheField>
    <cacheField name="Task parameters" numFmtId="0">
      <sharedItems containsBlank="1" count="21">
        <m/>
        <s v="HC Task"/>
        <s v="Requires QA"/>
        <s v="Requires QA, Last minute"/>
        <s v="HC Task, Cancelled"/>
        <s v="Last minute, Requires OT"/>
        <s v="Cancelled"/>
        <s v="Crisis" u="1"/>
        <s v="Requires QA, QA found errors, HC Task" u="1"/>
        <s v="Requires QA, QA found errors" u="1"/>
        <s v="Requires OT" u="1"/>
        <s v="Last minute, Crisis" u="1"/>
        <s v="Last minute, Requires OT, Crisis" u="1"/>
        <s v="Last minute" u="1"/>
        <s v="QA found errors" u="1"/>
        <s v="Requires QA, Cancelled" u="1"/>
        <s v="Last minute, HC Task" u="1"/>
        <s v="Requires QA, HC Task" u="1"/>
        <s v="Requires QA, Crisis" u="1"/>
        <s v="HC Task, Requires QA" u="1"/>
        <s v="Requires OT, Last minute" u="1"/>
      </sharedItems>
    </cacheField>
    <cacheField name="Task Priority - web" numFmtId="0">
      <sharedItems containsBlank="1"/>
    </cacheField>
    <cacheField name="Coding complexity" numFmtId="0">
      <sharedItems containsSemiMixedTypes="0" containsString="0" containsNumber="1" containsInteger="1" minValue="3" maxValue="25"/>
    </cacheField>
    <cacheField name="Time Spent" numFmtId="0">
      <sharedItems containsString="0" containsBlank="1" containsNumber="1" containsInteger="1" minValue="20" maxValue="20"/>
    </cacheField>
    <cacheField name="Client" numFmtId="0">
      <sharedItems containsBlank="1"/>
    </cacheField>
    <cacheField name="New Pages" numFmtId="0">
      <sharedItems containsString="0" containsBlank="1" containsNumber="1" containsInteger="1" minValue="0" maxValue="42"/>
    </cacheField>
    <cacheField name="Updated Pages" numFmtId="0">
      <sharedItems containsString="0" containsBlank="1" containsNumber="1" containsInteger="1" minValue="1" maxValue="36"/>
    </cacheField>
    <cacheField name="Deleted Pages" numFmtId="0">
      <sharedItems containsString="0" containsBlank="1" containsNumber="1" containsInteger="1" minValue="0" maxValue="23"/>
    </cacheField>
    <cacheField name="Supporting Files" numFmtId="0">
      <sharedItems containsString="0" containsBlank="1" containsNumber="1" containsInteger="1" minValue="0" maxValue="6"/>
    </cacheField>
    <cacheField name="Deleted Supporting Files" numFmtId="0">
      <sharedItems containsString="0" containsBlank="1" containsNumber="1" containsInteger="1" minValue="0" maxValue="1348"/>
    </cacheField>
    <cacheField name="Task Type" numFmtId="0">
      <sharedItems/>
    </cacheField>
    <cacheField name="Source" numFmtId="0">
      <sharedItems containsBlank="1" count="5">
        <s v="External"/>
        <s v="Internal"/>
        <m/>
        <s v="Newsroom" u="1"/>
        <s v="Other" u="1"/>
      </sharedItems>
    </cacheField>
    <cacheField name="Start date to staging" numFmtId="0">
      <sharedItems containsSemiMixedTypes="0" containsString="0" containsNumber="1" containsInteger="1" minValue="0" maxValue="9"/>
    </cacheField>
    <cacheField name="Staging to Live" numFmtId="0">
      <sharedItems containsSemiMixedTypes="0" containsString="0" containsNumber="1" containsInteger="1" minValue="0" maxValue="406"/>
    </cacheField>
    <cacheField name="Coding days" numFmtId="0">
      <sharedItems containsMixedTypes="1" containsNumber="1" containsInteger="1" minValue="0" maxValue="55"/>
    </cacheField>
    <cacheField name="Meet SLA" numFmtId="0">
      <sharedItems count="3">
        <b v="1"/>
        <s v="Error: Missing data" u="1"/>
        <b v="0" u="1"/>
      </sharedItems>
    </cacheField>
    <cacheField name="Months (Completed At)" numFmtId="0" databaseField="0">
      <fieldGroup base="5">
        <rangePr groupBy="months" startDate="2024-04-02T00:00:00" endDate="2025-04-29T00:00:00"/>
        <groupItems count="14">
          <s v="&lt;4/2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9/2025"/>
        </groupItems>
      </fieldGroup>
    </cacheField>
    <cacheField name="Quarters (Completed At)" numFmtId="0" databaseField="0">
      <fieldGroup base="5">
        <rangePr groupBy="quarters" startDate="2024-04-02T00:00:00" endDate="2025-04-29T00:00:00"/>
        <groupItems count="6">
          <s v="&lt;4/2/2024"/>
          <s v="Qtr1"/>
          <s v="Qtr2"/>
          <s v="Qtr3"/>
          <s v="Qtr4"/>
          <s v="&gt;4/29/2025"/>
        </groupItems>
      </fieldGroup>
    </cacheField>
    <cacheField name="Years (Completed At)" numFmtId="0" databaseField="0">
      <fieldGroup base="5">
        <rangePr groupBy="years" startDate="2024-04-02T00:00:00" endDate="2025-04-29T00:00:00"/>
        <groupItems count="4">
          <s v="&lt;4/2/2024"/>
          <s v="2024"/>
          <s v="2025"/>
          <s v="&gt;4/2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siambre, Cynthia (IRCC/IRCC)" refreshedDate="45779.580746527776" createdVersion="8" refreshedVersion="8" minRefreshableVersion="3" recordCount="54" xr:uid="{3CAD51F7-3ED1-40D0-AFEB-B15D5F93D280}">
  <cacheSource type="worksheet">
    <worksheetSource name="Table22[[Name]:[Source]]"/>
  </cacheSource>
  <cacheFields count="19">
    <cacheField name="Name" numFmtId="0">
      <sharedItems count="49">
        <s v="P1 - Staged April 2 – DLI Urgent de-designation - QC - Cestar College"/>
        <s v="P1: Proactive Disclosure regarding SOCI on Bill C-71, An Act to Amend the Citizenship Act - December 5, 2024 "/>
        <s v="P1 - April 8 - EE CRS tool - incorrect points"/>
        <s v="Team pub and enterprise stats"/>
        <s v="Progressive enhancement / js disabled message for EE rounds pages"/>
        <s v="Asylum stats coder "/>
        <s v="Question: IEC Microsite Quiz Logic"/>
        <s v="Maintenance - Fix Discover Canada pages responsiveness"/>
        <s v="P1 - (Apr 14 8am) - Fees - Biometrics fee update"/>
        <s v="P2 - (Apr 14) - Scan for iran include and remove from some pages"/>
        <s v="P1 - April 1st - Use of Representative - Deleting 6 pages and setting redirects"/>
        <s v="P1 - March 25 - LMIA updates (tentative) "/>
        <s v="P1 - April 11th - Removing use of representative include from 8 guides"/>
        <s v="P1 - April 11th - Updating PDF form for IMM 0193"/>
        <s v="Publishing IRCC's new Departmental Sustainable Development Strategy 2023-2027 - TOP URGENT"/>
        <s v="P1 - Due COB Feb 18 - Departmental Sustainable Development Strategy update part 1 of 2"/>
        <s v="P1 - April 16 - Updating FR PDF for form IMM 0270"/>
        <s v="P1 - April 16th - Upload updated PDF version for form IMM 5707"/>
        <s v="P3 - Typo on Committee Appearances"/>
        <s v="For posting (P1, tmrw): EE - points alert"/>
        <s v="P1 - Fix discrepancy between languages - Find out if you need a work permit"/>
        <s v="P2 Apr 9 - Broken links on Look for jobs in Canada + Driving in Canada pages"/>
        <s v="HTML coding of POR report: 2024-25 IRCC Telephone-to-Online Tracking Surveys"/>
        <s v="Weekly PTT update"/>
        <s v="CSCA Web Page Update"/>
        <s v="P1 - April 8 - EE Help Centre update"/>
        <s v="P2 - March 26, 4pm - CX: Staffing Action Planner #10"/>
        <s v="P2 - Connexion ROT- Citizenship - 0 page views - March 21"/>
        <s v="CAS/CCC weekly update"/>
        <s v="(SLA) - Updating TR medial requirements"/>
        <s v="P2 - EOD Monday the 24th - CITO Page"/>
        <s v="Adding Account Guidance Instructions to WAG"/>
        <s v="Updating WAG with New Asana Optimization Updates"/>
        <s v="P1 - April 11th - Minor updates to PR card and PRTD pages"/>
        <s v="Enterprise Stat Optimization and guidance"/>
        <s v="EE #342"/>
        <s v="P1 - April 14th - Updating PDF for IMM5406"/>
        <s v="P2 - IEC - In-Canada Printing - Live April 16"/>
        <s v="P2 - April 14 - FTA tool result fix - Spain result"/>
        <s v="P2 - Connexion ROT - Governance - Extra files - April 8"/>
        <s v="GCMS Reporting Page Issue"/>
        <s v="P1 - April 16th - Deleting a paragraph in form IMM 0008"/>
        <s v="P2 - Connexion ROT - Travel, hospitality and conferences - April 24"/>
        <s v="P1 - April 16th - Adding visa requirements to PR travel page + updating HC question"/>
        <s v="P2 - April 25 -  Cit - language proof HC Q link updates"/>
        <s v="P2 - Find out if you need a Visa tool (simple edits) - Add Transit - Staged by COB"/>
        <s v="P1 - April 28 - Remove Work permit question on SP H2A"/>
        <s v="P3 - April 2 - Connexion update - About IRCC - International Affairs - Reports from missions - December batch"/>
        <s v="Process for HTML coding of POR Reports- 2024-25 IRCC Online Tracking Survey"/>
      </sharedItems>
    </cacheField>
    <cacheField name="Created At" numFmtId="14">
      <sharedItems containsSemiMixedTypes="0" containsNonDate="0" containsDate="1" containsString="0" minDate="2023-09-15T00:00:00" maxDate="2025-04-25T00:00:00"/>
    </cacheField>
    <cacheField name="Start Date" numFmtId="14">
      <sharedItems containsSemiMixedTypes="0" containsNonDate="0" containsDate="1" containsString="0" minDate="2023-09-14T00:00:00" maxDate="2025-04-26T00:00:00"/>
    </cacheField>
    <cacheField name="Staging date" numFmtId="14">
      <sharedItems containsSemiMixedTypes="0" containsNonDate="0" containsDate="1" containsString="0" minDate="2023-09-15T00:00:00" maxDate="2025-04-26T00:00:00"/>
    </cacheField>
    <cacheField name="Due Date" numFmtId="0">
      <sharedItems containsNonDate="0" containsDate="1" containsString="0" containsBlank="1" minDate="2025-03-21T00:00:00" maxDate="2025-05-31T00:00:00"/>
    </cacheField>
    <cacheField name="Completed At" numFmtId="14">
      <sharedItems containsSemiMixedTypes="0" containsNonDate="0" containsDate="1" containsString="0" minDate="2025-04-01T00:00:00" maxDate="2025-04-29T00:00:00"/>
    </cacheField>
    <cacheField name="Assignee" numFmtId="0">
      <sharedItems count="6">
        <s v="Birinder Singh"/>
        <s v="Cynthia Essiambre"/>
        <s v="John Jamora"/>
        <s v="Krzysztof Cyga"/>
        <s v="Maninder pal Kaur"/>
        <s v="Ruby McDowell"/>
      </sharedItems>
    </cacheField>
    <cacheField name="Task parameters" numFmtId="0">
      <sharedItems containsBlank="1"/>
    </cacheField>
    <cacheField name="Task Priority - web" numFmtId="0">
      <sharedItems containsBlank="1"/>
    </cacheField>
    <cacheField name="Coding complexity" numFmtId="0">
      <sharedItems containsSemiMixedTypes="0" containsString="0" containsNumber="1" containsInteger="1" minValue="3" maxValue="25"/>
    </cacheField>
    <cacheField name="Time Spent" numFmtId="0">
      <sharedItems containsString="0" containsBlank="1" containsNumber="1" containsInteger="1" minValue="20" maxValue="20"/>
    </cacheField>
    <cacheField name="Client" numFmtId="0">
      <sharedItems containsBlank="1"/>
    </cacheField>
    <cacheField name="New Pages" numFmtId="0">
      <sharedItems containsString="0" containsBlank="1" containsNumber="1" containsInteger="1" minValue="0" maxValue="42"/>
    </cacheField>
    <cacheField name="Updated Pages" numFmtId="0">
      <sharedItems containsString="0" containsBlank="1" containsNumber="1" containsInteger="1" minValue="1" maxValue="36"/>
    </cacheField>
    <cacheField name="Deleted Pages" numFmtId="0">
      <sharedItems containsString="0" containsBlank="1" containsNumber="1" containsInteger="1" minValue="0" maxValue="23"/>
    </cacheField>
    <cacheField name="Supporting Files" numFmtId="0">
      <sharedItems containsString="0" containsBlank="1" containsNumber="1" containsInteger="1" minValue="0" maxValue="6"/>
    </cacheField>
    <cacheField name="Deleted Supporting Files" numFmtId="0">
      <sharedItems containsString="0" containsBlank="1" containsNumber="1" containsInteger="1" minValue="0" maxValue="1348"/>
    </cacheField>
    <cacheField name="Task Type" numFmtId="0">
      <sharedItems/>
    </cacheField>
    <cacheField name="Source" numFmtId="0">
      <sharedItems containsBlank="1" count="3">
        <s v="External"/>
        <s v="Intern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Weekly PTT update"/>
    <d v="2025-03-25T00:00:00"/>
    <d v="2025-04-01T00:00:00"/>
    <d v="2025-04-01T00:00:00"/>
    <d v="2025-04-02T00:00:00"/>
    <x v="0"/>
    <x v="0"/>
    <x v="0"/>
    <s v="Priority 1"/>
    <n v="3"/>
    <m/>
    <s v="Alejandro Fuenmayor, Phil Fernandez, Simran Gill"/>
    <m/>
    <n v="2"/>
    <m/>
    <n v="4"/>
    <m/>
    <s v="Update (Basic)"/>
    <x v="0"/>
    <n v="0"/>
    <n v="0"/>
    <n v="6"/>
    <x v="0"/>
  </r>
  <r>
    <s v="P1 - April 1st - Use of Representative - Deleting 6 pages and setting redirects"/>
    <d v="2025-04-01T00:00:00"/>
    <d v="2025-04-01T00:00:00"/>
    <d v="2025-04-01T00:00:00"/>
    <d v="2025-04-01T00:00:00"/>
    <x v="0"/>
    <x v="1"/>
    <x v="0"/>
    <s v="Priority 1"/>
    <n v="3"/>
    <m/>
    <s v="Viviane Umutesi"/>
    <m/>
    <n v="6"/>
    <n v="6"/>
    <m/>
    <m/>
    <s v="Update (Basic)"/>
    <x v="0"/>
    <n v="0"/>
    <n v="0"/>
    <n v="0"/>
    <x v="0"/>
  </r>
  <r>
    <s v="P3 - Typo on Committee Appearances"/>
    <d v="2025-04-02T00:00:00"/>
    <d v="2025-04-02T00:00:00"/>
    <d v="2025-04-02T00:00:00"/>
    <d v="2025-04-02T00:00:00"/>
    <x v="1"/>
    <x v="2"/>
    <x v="0"/>
    <m/>
    <n v="3"/>
    <m/>
    <s v="Karine Bédard"/>
    <m/>
    <n v="1"/>
    <m/>
    <m/>
    <m/>
    <s v="Update (Basic)"/>
    <x v="0"/>
    <n v="0"/>
    <n v="0"/>
    <n v="0"/>
    <x v="0"/>
  </r>
  <r>
    <s v="For posting (P1, tmrw): EE - points alert"/>
    <d v="2025-03-31T00:00:00"/>
    <d v="2025-04-01T00:00:00"/>
    <d v="2025-04-01T00:00:00"/>
    <d v="2025-04-01T00:00:00"/>
    <x v="1"/>
    <x v="2"/>
    <x v="0"/>
    <s v="Priority 1"/>
    <n v="3"/>
    <m/>
    <s v="Danna El-Arab"/>
    <n v="2"/>
    <n v="6"/>
    <m/>
    <m/>
    <m/>
    <s v="Subway"/>
    <x v="0"/>
    <n v="0"/>
    <n v="1"/>
    <n v="1"/>
    <x v="0"/>
  </r>
  <r>
    <s v="CSCA Web Page Update"/>
    <d v="2025-03-27T00:00:00"/>
    <d v="2025-03-27T00:00:00"/>
    <d v="2025-03-27T00:00:00"/>
    <m/>
    <x v="2"/>
    <x v="0"/>
    <x v="0"/>
    <s v="Priority 2"/>
    <n v="3"/>
    <m/>
    <s v="Danna El-Arab"/>
    <m/>
    <n v="2"/>
    <m/>
    <n v="1"/>
    <m/>
    <s v="File Upload"/>
    <x v="0"/>
    <n v="0"/>
    <n v="5"/>
    <s v="0"/>
    <x v="0"/>
  </r>
  <r>
    <s v="P1 - Staged April 2 – DLI Urgent de-designation - QC - Cestar College"/>
    <d v="2025-04-01T00:00:00"/>
    <d v="2025-04-02T00:00:00"/>
    <d v="2025-04-02T00:00:00"/>
    <d v="2025-04-02T00:00:00"/>
    <x v="2"/>
    <x v="3"/>
    <x v="0"/>
    <s v="Priority 1"/>
    <n v="3"/>
    <m/>
    <s v="Beatrice Angulo "/>
    <m/>
    <n v="2"/>
    <m/>
    <n v="2"/>
    <m/>
    <s v="File Upload"/>
    <x v="0"/>
    <n v="0"/>
    <n v="1"/>
    <n v="1"/>
    <x v="0"/>
  </r>
  <r>
    <s v="P1 - Fix discrepancy between languages - Find out if you need a work permit"/>
    <d v="2025-04-03T00:00:00"/>
    <d v="2025-04-02T00:00:00"/>
    <d v="2025-04-02T00:00:00"/>
    <m/>
    <x v="2"/>
    <x v="2"/>
    <x v="0"/>
    <m/>
    <n v="3"/>
    <m/>
    <s v="Liza Hamilton"/>
    <m/>
    <n v="2"/>
    <m/>
    <m/>
    <m/>
    <s v="Field Flow"/>
    <x v="0"/>
    <n v="0"/>
    <n v="1"/>
    <s v="0"/>
    <x v="0"/>
  </r>
  <r>
    <s v="P1 - April 8 - EE Help Centre update"/>
    <d v="2025-04-04T00:00:00"/>
    <d v="2025-04-04T00:00:00"/>
    <d v="2025-04-04T00:00:00"/>
    <d v="2025-04-07T00:00:00"/>
    <x v="3"/>
    <x v="0"/>
    <x v="1"/>
    <s v="Priority 1"/>
    <n v="3"/>
    <m/>
    <s v="Tracy Dransfield"/>
    <m/>
    <n v="8"/>
    <m/>
    <m/>
    <m/>
    <s v="Update (Basic)"/>
    <x v="0"/>
    <n v="0"/>
    <n v="0"/>
    <n v="1"/>
    <x v="0"/>
  </r>
  <r>
    <s v="P1: Proactive Disclosure regarding SOCI on Bill C-71, An Act to Amend the Citizenship Act - December 5, 2024 "/>
    <d v="2025-03-11T00:00:00"/>
    <d v="2025-03-11T00:00:00"/>
    <d v="2025-03-19T00:00:00"/>
    <d v="2025-04-04T00:00:00"/>
    <x v="3"/>
    <x v="4"/>
    <x v="2"/>
    <s v="Priority 1"/>
    <n v="25"/>
    <m/>
    <s v="Jean-Pierre Friquin"/>
    <n v="42"/>
    <n v="2"/>
    <m/>
    <m/>
    <m/>
    <s v="Corporate"/>
    <x v="0"/>
    <n v="6"/>
    <n v="12"/>
    <n v="18"/>
    <x v="0"/>
  </r>
  <r>
    <s v="P1 - March 25 - LMIA updates (tentative) "/>
    <d v="2025-03-24T00:00:00"/>
    <d v="2025-03-24T00:00:00"/>
    <d v="2025-03-24T00:00:00"/>
    <d v="2025-03-24T00:00:00"/>
    <x v="3"/>
    <x v="1"/>
    <x v="3"/>
    <s v="Priority 1"/>
    <n v="3"/>
    <m/>
    <s v="Tracy Dransfield"/>
    <m/>
    <n v="6"/>
    <m/>
    <m/>
    <m/>
    <s v="Internet-Pub Overflow"/>
    <x v="0"/>
    <n v="0"/>
    <n v="9"/>
    <n v="0"/>
    <x v="0"/>
  </r>
  <r>
    <s v="P2 - March 26, 4pm - CX: Staffing Action Planner #10"/>
    <d v="2025-03-21T00:00:00"/>
    <d v="2025-03-21T00:00:00"/>
    <d v="2025-03-21T00:00:00"/>
    <d v="2025-03-26T00:00:00"/>
    <x v="3"/>
    <x v="0"/>
    <x v="0"/>
    <s v="Priority 2"/>
    <n v="3"/>
    <m/>
    <s v="Ajay Nair "/>
    <m/>
    <n v="4"/>
    <m/>
    <m/>
    <m/>
    <s v="Update (Basic)"/>
    <x v="1"/>
    <n v="0"/>
    <n v="10"/>
    <n v="3"/>
    <x v="0"/>
  </r>
  <r>
    <s v="P2 - Connexion ROT- Citizenship - 0 page views - March 21"/>
    <d v="2025-03-03T00:00:00"/>
    <d v="2025-03-20T00:00:00"/>
    <d v="2025-03-21T00:00:00"/>
    <d v="2025-04-04T00:00:00"/>
    <x v="3"/>
    <x v="0"/>
    <x v="0"/>
    <s v="Priority 2"/>
    <n v="3"/>
    <m/>
    <s v="Erin O'Brien"/>
    <m/>
    <n v="36"/>
    <n v="23"/>
    <m/>
    <n v="1"/>
    <s v="ROT TASK"/>
    <x v="1"/>
    <n v="1"/>
    <n v="10"/>
    <n v="24"/>
    <x v="0"/>
  </r>
  <r>
    <s v="P1 - April 8 - EE CRS tool - incorrect points"/>
    <d v="2025-04-07T00:00:00"/>
    <d v="2025-04-07T00:00:00"/>
    <d v="2025-04-07T00:00:00"/>
    <d v="2025-04-08T00:00:00"/>
    <x v="4"/>
    <x v="4"/>
    <x v="0"/>
    <s v="Priority 1"/>
    <n v="3"/>
    <m/>
    <s v="Tracy Dransfield"/>
    <m/>
    <n v="2"/>
    <m/>
    <m/>
    <m/>
    <s v="Update (Basic)"/>
    <x v="0"/>
    <n v="0"/>
    <n v="0"/>
    <n v="1"/>
    <x v="0"/>
  </r>
  <r>
    <s v="CAS/CCC weekly update"/>
    <d v="2025-04-01T00:00:00"/>
    <d v="2025-04-07T00:00:00"/>
    <d v="2025-04-07T00:00:00"/>
    <d v="2025-04-07T00:00:00"/>
    <x v="4"/>
    <x v="0"/>
    <x v="0"/>
    <s v="Priority 1"/>
    <n v="3"/>
    <m/>
    <s v="Candace Mantha "/>
    <m/>
    <n v="2"/>
    <m/>
    <m/>
    <m/>
    <s v="Update (Basic)"/>
    <x v="0"/>
    <n v="0"/>
    <n v="0"/>
    <n v="4"/>
    <x v="0"/>
  </r>
  <r>
    <s v="P1 - April 11th - Removing use of representative include from 8 guides"/>
    <d v="2025-04-07T00:00:00"/>
    <d v="2025-04-07T00:00:00"/>
    <d v="2025-04-07T00:00:00"/>
    <d v="2025-04-11T00:00:00"/>
    <x v="4"/>
    <x v="1"/>
    <x v="0"/>
    <s v="Priority 1"/>
    <n v="3"/>
    <m/>
    <s v="Viviane Umutesi"/>
    <m/>
    <n v="16"/>
    <m/>
    <m/>
    <m/>
    <s v="Update (Basic)"/>
    <x v="0"/>
    <n v="0"/>
    <n v="0"/>
    <n v="4"/>
    <x v="0"/>
  </r>
  <r>
    <s v="(SLA) - Updating TR medial requirements"/>
    <d v="2023-09-15T00:00:00"/>
    <d v="2023-09-14T00:00:00"/>
    <d v="2023-09-15T00:00:00"/>
    <m/>
    <x v="4"/>
    <x v="0"/>
    <x v="4"/>
    <s v="Priority 2"/>
    <n v="3"/>
    <m/>
    <s v="Viviane Umutesi"/>
    <m/>
    <n v="5"/>
    <m/>
    <m/>
    <m/>
    <s v="Update (Basic)"/>
    <x v="0"/>
    <n v="1"/>
    <n v="406"/>
    <s v="0"/>
    <x v="0"/>
  </r>
  <r>
    <s v="Team pub and enterprise stats"/>
    <d v="2025-03-24T00:00:00"/>
    <d v="2025-04-04T00:00:00"/>
    <d v="2025-04-07T00:00:00"/>
    <d v="2025-04-08T00:00:00"/>
    <x v="4"/>
    <x v="4"/>
    <x v="0"/>
    <s v="Priority 1"/>
    <n v="25"/>
    <m/>
    <s v="Gabrielle Michaud"/>
    <m/>
    <m/>
    <m/>
    <m/>
    <m/>
    <s v="Non-Publishing Tasks"/>
    <x v="1"/>
    <n v="0"/>
    <n v="0"/>
    <n v="0"/>
    <x v="0"/>
  </r>
  <r>
    <s v="P1 - April 11th - Updating PDF form for IMM 0193"/>
    <d v="2025-04-04T00:00:00"/>
    <d v="2025-04-04T00:00:00"/>
    <d v="2025-04-04T00:00:00"/>
    <d v="2025-04-10T00:00:00"/>
    <x v="4"/>
    <x v="1"/>
    <x v="0"/>
    <s v="Priority 1"/>
    <n v="3"/>
    <m/>
    <s v="Viviane Umutesi "/>
    <m/>
    <n v="2"/>
    <m/>
    <n v="2"/>
    <m/>
    <s v="File Upload"/>
    <x v="0"/>
    <n v="0"/>
    <n v="1"/>
    <n v="4"/>
    <x v="0"/>
  </r>
  <r>
    <s v="P2 - EOD Monday the 24th - CITO Page"/>
    <d v="2025-03-20T00:00:00"/>
    <d v="2025-03-21T00:00:00"/>
    <d v="2025-03-25T00:00:00"/>
    <d v="2025-03-24T00:00:00"/>
    <x v="5"/>
    <x v="0"/>
    <x v="2"/>
    <s v="Priority 2"/>
    <n v="3"/>
    <m/>
    <s v="Egor "/>
    <n v="2"/>
    <m/>
    <m/>
    <n v="1"/>
    <m/>
    <s v="Custom Coding"/>
    <x v="0"/>
    <n v="2"/>
    <n v="10"/>
    <n v="2"/>
    <x v="0"/>
  </r>
  <r>
    <s v="Progressive enhancement / js disabled message for EE rounds pages"/>
    <d v="2025-02-04T00:00:00"/>
    <d v="2025-04-08T00:00:00"/>
    <d v="2025-04-08T00:00:00"/>
    <m/>
    <x v="5"/>
    <x v="4"/>
    <x v="0"/>
    <s v="Priority 3"/>
    <n v="3"/>
    <m/>
    <s v="Tracy Dransfield"/>
    <m/>
    <n v="4"/>
    <m/>
    <m/>
    <m/>
    <s v="Maintenance"/>
    <x v="0"/>
    <n v="0"/>
    <n v="0"/>
    <s v="0"/>
    <x v="0"/>
  </r>
  <r>
    <s v="P2 Apr 9 - Broken links on Look for jobs in Canada + Driving in Canada pages"/>
    <d v="2025-04-08T00:00:00"/>
    <d v="2025-04-07T00:00:00"/>
    <d v="2025-04-08T00:00:00"/>
    <d v="2025-04-09T00:00:00"/>
    <x v="5"/>
    <x v="2"/>
    <x v="0"/>
    <s v="Priority 2"/>
    <n v="3"/>
    <m/>
    <s v="Nadya Rustandjaja "/>
    <m/>
    <n v="8"/>
    <m/>
    <m/>
    <m/>
    <s v="Update (Basic)"/>
    <x v="0"/>
    <n v="1"/>
    <n v="0"/>
    <n v="1"/>
    <x v="0"/>
  </r>
  <r>
    <s v="Asylum stats coder "/>
    <d v="2025-04-09T00:00:00"/>
    <d v="2025-04-09T00:00:00"/>
    <d v="2025-04-09T00:00:00"/>
    <d v="2025-04-09T00:00:00"/>
    <x v="6"/>
    <x v="4"/>
    <x v="5"/>
    <s v="Priority 1"/>
    <n v="3"/>
    <m/>
    <s v="Egor Evseev"/>
    <m/>
    <n v="20"/>
    <m/>
    <m/>
    <m/>
    <s v="Internet-Pub Overflow"/>
    <x v="0"/>
    <n v="0"/>
    <n v="0"/>
    <n v="0"/>
    <x v="0"/>
  </r>
  <r>
    <s v="Question: IEC Microsite Quiz Logic"/>
    <d v="2025-04-04T00:00:00"/>
    <d v="2025-04-04T00:00:00"/>
    <d v="2025-04-09T00:00:00"/>
    <d v="2025-04-09T00:00:00"/>
    <x v="6"/>
    <x v="4"/>
    <x v="0"/>
    <s v="Priority 2"/>
    <n v="25"/>
    <m/>
    <s v="Gabrielle Michaud"/>
    <m/>
    <m/>
    <m/>
    <m/>
    <m/>
    <s v="Non-Publishing Tasks"/>
    <x v="0"/>
    <n v="0"/>
    <n v="0"/>
    <n v="0"/>
    <x v="0"/>
  </r>
  <r>
    <s v="Weekly PTT update"/>
    <d v="2025-04-01T00:00:00"/>
    <d v="2025-04-09T00:00:00"/>
    <d v="2025-04-09T00:00:00"/>
    <d v="2025-04-09T00:00:00"/>
    <x v="7"/>
    <x v="0"/>
    <x v="0"/>
    <s v="Priority 1"/>
    <n v="3"/>
    <m/>
    <s v="Alejandro Fuenmayor, Phil Fernandez"/>
    <m/>
    <n v="2"/>
    <m/>
    <n v="4"/>
    <m/>
    <s v="Update (Basic)"/>
    <x v="0"/>
    <n v="0"/>
    <n v="1"/>
    <n v="6"/>
    <x v="0"/>
  </r>
  <r>
    <s v="P3 - April 2 - Connexion update - About IRCC - International Affairs - Reports from missions - December batch"/>
    <d v="2025-03-27T00:00:00"/>
    <d v="2025-03-31T00:00:00"/>
    <d v="2025-04-01T00:00:00"/>
    <d v="2025-04-01T00:00:00"/>
    <x v="7"/>
    <x v="5"/>
    <x v="0"/>
    <s v="Priority 3"/>
    <n v="3"/>
    <m/>
    <s v="Jessica Blanchard "/>
    <n v="0"/>
    <n v="2"/>
    <n v="0"/>
    <n v="0"/>
    <n v="0"/>
    <s v="Corporate"/>
    <x v="1"/>
    <n v="1"/>
    <n v="7"/>
    <n v="3"/>
    <x v="0"/>
  </r>
  <r>
    <s v="Process for HTML coding of POR Reports- 2024-25 IRCC Online Tracking Survey"/>
    <d v="2025-03-03T00:00:00"/>
    <d v="2025-03-05T00:00:00"/>
    <d v="2025-03-18T00:00:00"/>
    <d v="2025-05-20T00:00:00"/>
    <x v="7"/>
    <x v="5"/>
    <x v="2"/>
    <s v="Priority 2"/>
    <n v="25"/>
    <m/>
    <s v="John van Weringh (he | il)"/>
    <n v="4"/>
    <m/>
    <m/>
    <m/>
    <m/>
    <s v="Corporate"/>
    <x v="0"/>
    <n v="9"/>
    <n v="17"/>
    <n v="55"/>
    <x v="0"/>
  </r>
  <r>
    <s v="Maintenance - Fix Discover Canada pages responsiveness"/>
    <d v="2025-03-05T00:00:00"/>
    <d v="2025-04-09T00:00:00"/>
    <d v="2025-04-11T00:00:00"/>
    <m/>
    <x v="8"/>
    <x v="4"/>
    <x v="0"/>
    <s v="Priority 3"/>
    <n v="10"/>
    <m/>
    <m/>
    <n v="3"/>
    <m/>
    <m/>
    <m/>
    <m/>
    <s v="Maintenance"/>
    <x v="0"/>
    <n v="2"/>
    <n v="0"/>
    <s v="0"/>
    <x v="0"/>
  </r>
  <r>
    <s v="Adding Account Guidance Instructions to WAG"/>
    <d v="2024-08-02T00:00:00"/>
    <d v="2025-04-11T00:00:00"/>
    <d v="2025-04-11T00:00:00"/>
    <m/>
    <x v="8"/>
    <x v="0"/>
    <x v="0"/>
    <s v="Priority 3"/>
    <n v="3"/>
    <m/>
    <s v="Michael Arthur "/>
    <n v="1"/>
    <m/>
    <m/>
    <m/>
    <m/>
    <s v="Non-Publishing Tasks"/>
    <x v="1"/>
    <n v="0"/>
    <n v="0"/>
    <s v="0"/>
    <x v="0"/>
  </r>
  <r>
    <s v="Updating WAG with New Asana Optimization Updates"/>
    <d v="2024-06-04T00:00:00"/>
    <d v="2024-06-07T00:00:00"/>
    <d v="2024-06-10T00:00:00"/>
    <m/>
    <x v="8"/>
    <x v="0"/>
    <x v="6"/>
    <s v="Priority 3"/>
    <n v="3"/>
    <m/>
    <s v="Michael Arthur"/>
    <m/>
    <n v="1"/>
    <m/>
    <m/>
    <m/>
    <s v="Non-Publishing Tasks"/>
    <x v="1"/>
    <n v="0"/>
    <n v="0"/>
    <s v="0"/>
    <x v="0"/>
  </r>
  <r>
    <s v="P1 - April 11th - Minor updates to PR card and PRTD pages"/>
    <d v="2025-04-08T00:00:00"/>
    <d v="2025-04-10T00:00:00"/>
    <d v="2025-04-10T00:00:00"/>
    <d v="2025-04-11T00:00:00"/>
    <x v="8"/>
    <x v="0"/>
    <x v="1"/>
    <s v="Priority 1"/>
    <n v="3"/>
    <m/>
    <s v="Viviane Umutesi "/>
    <m/>
    <n v="4"/>
    <n v="4"/>
    <m/>
    <m/>
    <s v="Update (Basic)"/>
    <x v="0"/>
    <n v="0"/>
    <n v="1"/>
    <n v="3"/>
    <x v="0"/>
  </r>
  <r>
    <s v="Enterprise Stat Optimization and guidance"/>
    <d v="2024-05-14T00:00:00"/>
    <d v="2024-05-15T00:00:00"/>
    <d v="2024-05-16T00:00:00"/>
    <m/>
    <x v="8"/>
    <x v="0"/>
    <x v="0"/>
    <s v="Priority 3"/>
    <n v="10"/>
    <m/>
    <s v="MichaelArthur "/>
    <m/>
    <m/>
    <m/>
    <m/>
    <m/>
    <s v="Non-Publishing Tasks"/>
    <x v="2"/>
    <n v="0"/>
    <n v="0"/>
    <s v="0"/>
    <x v="0"/>
  </r>
  <r>
    <s v="P1 - (Apr 14 8am) - Fees - Biometrics fee update"/>
    <d v="2025-04-07T00:00:00"/>
    <d v="2025-04-14T00:00:00"/>
    <d v="2025-04-14T00:00:00"/>
    <d v="2025-04-14T00:00:00"/>
    <x v="9"/>
    <x v="4"/>
    <x v="0"/>
    <s v="Priority 1"/>
    <n v="3"/>
    <m/>
    <s v="Michael Arthur"/>
    <m/>
    <n v="10"/>
    <m/>
    <m/>
    <m/>
    <s v="Update (Basic)"/>
    <x v="0"/>
    <n v="0"/>
    <n v="0"/>
    <n v="5"/>
    <x v="0"/>
  </r>
  <r>
    <s v="EE #342"/>
    <d v="2025-03-21T00:00:00"/>
    <d v="2025-04-14T00:00:00"/>
    <d v="2025-04-14T00:00:00"/>
    <d v="2025-04-14T00:00:00"/>
    <x v="9"/>
    <x v="0"/>
    <x v="0"/>
    <s v="Priority 1"/>
    <n v="3"/>
    <m/>
    <s v="OSC MIBS / MISA CSO (IRCC)"/>
    <m/>
    <n v="8"/>
    <m/>
    <n v="4"/>
    <m/>
    <s v="File Upload"/>
    <x v="0"/>
    <n v="0"/>
    <n v="0"/>
    <n v="16"/>
    <x v="0"/>
  </r>
  <r>
    <s v="Publishing IRCC's new Departmental Sustainable Development Strategy 2023-2027 - TOP URGENT"/>
    <d v="2025-04-01T00:00:00"/>
    <d v="2025-04-01T00:00:00"/>
    <d v="2025-04-04T00:00:00"/>
    <d v="2025-04-14T00:00:00"/>
    <x v="9"/>
    <x v="1"/>
    <x v="2"/>
    <s v="Priority 1"/>
    <n v="10"/>
    <m/>
    <s v="Elie Abiraad, Geneviève Beaulé"/>
    <n v="2"/>
    <n v="4"/>
    <m/>
    <n v="6"/>
    <m/>
    <s v="Corporate"/>
    <x v="0"/>
    <n v="3"/>
    <n v="6"/>
    <n v="9"/>
    <x v="0"/>
  </r>
  <r>
    <s v="P1 - Due COB Feb 18 - Departmental Sustainable Development Strategy update part 1 of 2"/>
    <d v="2025-02-12T00:00:00"/>
    <d v="2025-03-07T00:00:00"/>
    <d v="2025-03-20T00:00:00"/>
    <d v="2025-03-21T00:00:00"/>
    <x v="9"/>
    <x v="1"/>
    <x v="0"/>
    <s v="Priority 1"/>
    <n v="25"/>
    <m/>
    <s v="Nicholas Carriere"/>
    <n v="4"/>
    <n v="2"/>
    <m/>
    <m/>
    <m/>
    <s v="Corporate"/>
    <x v="0"/>
    <n v="9"/>
    <n v="17"/>
    <n v="27"/>
    <x v="0"/>
  </r>
  <r>
    <s v="CAS/CCC weekly update"/>
    <d v="2025-04-07T00:00:00"/>
    <d v="2025-04-15T00:00:00"/>
    <d v="2025-04-15T00:00:00"/>
    <d v="2025-04-14T00:00:00"/>
    <x v="10"/>
    <x v="0"/>
    <x v="0"/>
    <s v="Priority 1"/>
    <n v="3"/>
    <m/>
    <s v="Candace Mantha "/>
    <m/>
    <n v="2"/>
    <m/>
    <m/>
    <m/>
    <s v="Update (Basic)"/>
    <x v="0"/>
    <n v="0"/>
    <n v="0"/>
    <n v="5"/>
    <x v="0"/>
  </r>
  <r>
    <s v="P1 - April 14th - Updating PDF for IMM5406"/>
    <d v="2025-04-11T00:00:00"/>
    <d v="2025-04-11T00:00:00"/>
    <d v="2025-04-11T00:00:00"/>
    <d v="2025-04-14T00:00:00"/>
    <x v="10"/>
    <x v="0"/>
    <x v="0"/>
    <s v="Priority 1"/>
    <n v="3"/>
    <m/>
    <s v="Viviane Umutesi"/>
    <m/>
    <n v="4"/>
    <m/>
    <n v="2"/>
    <m/>
    <s v="File Upload"/>
    <x v="0"/>
    <n v="0"/>
    <n v="2"/>
    <n v="1"/>
    <x v="0"/>
  </r>
  <r>
    <s v="P2 - (Apr 14) - Scan for iran include and remove from some pages"/>
    <d v="2025-04-15T00:00:00"/>
    <d v="2025-04-14T00:00:00"/>
    <d v="2025-04-15T00:00:00"/>
    <m/>
    <x v="10"/>
    <x v="4"/>
    <x v="0"/>
    <s v="Priority 2"/>
    <n v="3"/>
    <m/>
    <s v="Michael Arthur"/>
    <m/>
    <n v="2"/>
    <m/>
    <m/>
    <m/>
    <s v="Update (Basic)"/>
    <x v="0"/>
    <n v="1"/>
    <n v="0"/>
    <s v="0"/>
    <x v="0"/>
  </r>
  <r>
    <s v="P2 - IEC - In-Canada Printing - Live April 16"/>
    <d v="2025-04-15T00:00:00"/>
    <d v="2025-04-15T00:00:00"/>
    <d v="2025-04-15T00:00:00"/>
    <d v="2025-04-16T00:00:00"/>
    <x v="11"/>
    <x v="0"/>
    <x v="1"/>
    <s v="Priority 2"/>
    <n v="3"/>
    <m/>
    <s v="Sean Mueller"/>
    <m/>
    <n v="8"/>
    <m/>
    <m/>
    <m/>
    <s v="Update (Basic)"/>
    <x v="0"/>
    <n v="0"/>
    <n v="1"/>
    <n v="1"/>
    <x v="0"/>
  </r>
  <r>
    <s v="P2 - April 14 - FTA tool result fix - Spain result"/>
    <d v="2025-04-14T00:00:00"/>
    <d v="2025-04-14T00:00:00"/>
    <d v="2025-04-14T00:00:00"/>
    <d v="2025-04-14T00:00:00"/>
    <x v="11"/>
    <x v="0"/>
    <x v="0"/>
    <s v="Priority 2"/>
    <n v="3"/>
    <m/>
    <s v="Beatrice Angulo"/>
    <m/>
    <n v="2"/>
    <m/>
    <m/>
    <m/>
    <s v="Field Flow"/>
    <x v="0"/>
    <n v="0"/>
    <n v="2"/>
    <n v="0"/>
    <x v="0"/>
  </r>
  <r>
    <s v="Weekly PTT update"/>
    <d v="2025-04-10T00:00:00"/>
    <d v="2025-04-15T00:00:00"/>
    <d v="2025-04-15T00:00:00"/>
    <d v="2025-04-16T00:00:00"/>
    <x v="11"/>
    <x v="0"/>
    <x v="0"/>
    <s v="Priority 1"/>
    <n v="3"/>
    <m/>
    <s v="Alejandro Fuenmayor, Phil Fernandez"/>
    <m/>
    <n v="2"/>
    <m/>
    <n v="4"/>
    <m/>
    <s v="Update (Basic)"/>
    <x v="0"/>
    <n v="0"/>
    <n v="1"/>
    <n v="4"/>
    <x v="0"/>
  </r>
  <r>
    <s v="P2 - Connexion ROT - Governance - Extra files - April 8"/>
    <d v="2025-03-14T00:00:00"/>
    <d v="2025-04-07T00:00:00"/>
    <d v="2025-04-17T00:00:00"/>
    <d v="2025-04-08T00:00:00"/>
    <x v="12"/>
    <x v="0"/>
    <x v="0"/>
    <s v="Priority 2"/>
    <n v="10"/>
    <m/>
    <s v="Malika Rozon-Richer"/>
    <m/>
    <m/>
    <n v="4"/>
    <m/>
    <n v="1348"/>
    <s v="ROT TASK"/>
    <x v="1"/>
    <n v="8"/>
    <n v="0"/>
    <n v="17"/>
    <x v="0"/>
  </r>
  <r>
    <s v="GCMS Reporting Page Issue"/>
    <d v="2025-04-15T00:00:00"/>
    <d v="2025-04-15T00:00:00"/>
    <d v="2025-04-15T00:00:00"/>
    <m/>
    <x v="12"/>
    <x v="0"/>
    <x v="0"/>
    <s v="Priority 3"/>
    <n v="3"/>
    <m/>
    <s v="Amy Foulkes, Alex Shannon "/>
    <m/>
    <m/>
    <m/>
    <m/>
    <m/>
    <s v="Maintenance"/>
    <x v="1"/>
    <n v="0"/>
    <n v="2"/>
    <s v="0"/>
    <x v="0"/>
  </r>
  <r>
    <s v="P1 - April 16th - Deleting a paragraph in form IMM 0008"/>
    <d v="2025-04-16T00:00:00"/>
    <d v="2025-04-16T00:00:00"/>
    <d v="2025-04-16T00:00:00"/>
    <d v="2025-04-16T00:00:00"/>
    <x v="12"/>
    <x v="0"/>
    <x v="0"/>
    <s v="Priority 1"/>
    <n v="3"/>
    <m/>
    <s v="Viviane Umutesi "/>
    <m/>
    <n v="2"/>
    <m/>
    <m/>
    <m/>
    <s v="Update (Basic)"/>
    <x v="0"/>
    <n v="0"/>
    <n v="1"/>
    <n v="0"/>
    <x v="0"/>
  </r>
  <r>
    <s v="P1 - April 16 - Updating FR PDF for form IMM 0270"/>
    <d v="2025-04-15T00:00:00"/>
    <d v="2025-04-15T00:00:00"/>
    <d v="2025-04-15T00:00:00"/>
    <d v="2025-04-16T00:00:00"/>
    <x v="12"/>
    <x v="1"/>
    <x v="0"/>
    <s v="Priority 1"/>
    <n v="3"/>
    <m/>
    <s v="Viviane Umutesi "/>
    <m/>
    <n v="1"/>
    <m/>
    <n v="1"/>
    <m/>
    <s v="File Upload"/>
    <x v="0"/>
    <n v="0"/>
    <n v="2"/>
    <n v="1"/>
    <x v="0"/>
  </r>
  <r>
    <s v="P2 - Connexion ROT - Travel, hospitality and conferences - April 24"/>
    <d v="2025-04-21T00:00:00"/>
    <d v="2025-04-22T00:00:00"/>
    <d v="2025-04-22T00:00:00"/>
    <d v="2025-04-24T00:00:00"/>
    <x v="13"/>
    <x v="0"/>
    <x v="0"/>
    <s v="Priority 2"/>
    <n v="3"/>
    <m/>
    <s v="Malika Rozon-Richer"/>
    <m/>
    <n v="12"/>
    <n v="2"/>
    <m/>
    <n v="2"/>
    <s v="ROT TASK"/>
    <x v="1"/>
    <n v="0"/>
    <n v="0"/>
    <n v="3"/>
    <x v="0"/>
  </r>
  <r>
    <s v="HTML coding of POR report: 2024-25 IRCC Telephone-to-Online Tracking Surveys"/>
    <d v="2025-04-10T00:00:00"/>
    <d v="2025-04-10T00:00:00"/>
    <d v="2025-04-17T00:00:00"/>
    <d v="2025-05-30T00:00:00"/>
    <x v="13"/>
    <x v="2"/>
    <x v="2"/>
    <s v="Priority 2"/>
    <n v="10"/>
    <m/>
    <s v="John van Weringh"/>
    <n v="2"/>
    <m/>
    <m/>
    <m/>
    <m/>
    <s v="Non-Publishing Tasks"/>
    <x v="0"/>
    <n v="0"/>
    <n v="0"/>
    <n v="0"/>
    <x v="0"/>
  </r>
  <r>
    <s v="P1 - April 16th - Adding visa requirements to PR travel page + updating HC question"/>
    <d v="2025-04-15T00:00:00"/>
    <d v="2025-04-15T00:00:00"/>
    <d v="2025-04-15T00:00:00"/>
    <d v="2025-04-15T00:00:00"/>
    <x v="14"/>
    <x v="0"/>
    <x v="1"/>
    <s v="Priority 1"/>
    <n v="3"/>
    <m/>
    <s v="Viviane Umutesi"/>
    <m/>
    <n v="5"/>
    <m/>
    <m/>
    <m/>
    <s v="Update (Basic)"/>
    <x v="0"/>
    <n v="0"/>
    <n v="6"/>
    <n v="0"/>
    <x v="0"/>
  </r>
  <r>
    <s v="Weekly PTT update"/>
    <d v="2025-04-16T00:00:00"/>
    <d v="2025-04-23T00:00:00"/>
    <d v="2025-04-23T00:00:00"/>
    <d v="2025-04-23T00:00:00"/>
    <x v="14"/>
    <x v="0"/>
    <x v="0"/>
    <s v="Priority 1"/>
    <n v="3"/>
    <m/>
    <s v="Alejandro Fuenmayor, Phil Fernandez"/>
    <m/>
    <n v="2"/>
    <m/>
    <n v="4"/>
    <m/>
    <s v="Update (Basic)"/>
    <x v="0"/>
    <n v="0"/>
    <n v="0"/>
    <n v="5"/>
    <x v="0"/>
  </r>
  <r>
    <s v="P2 - April 25 -  Cit - language proof HC Q link updates"/>
    <d v="2025-04-23T00:00:00"/>
    <d v="2025-04-23T00:00:00"/>
    <d v="2025-04-23T00:00:00"/>
    <d v="2025-04-25T00:00:00"/>
    <x v="15"/>
    <x v="0"/>
    <x v="1"/>
    <s v="Priority 2"/>
    <n v="3"/>
    <m/>
    <s v="Aloisa Santos "/>
    <m/>
    <n v="5"/>
    <m/>
    <m/>
    <m/>
    <s v="Update (Basic)"/>
    <x v="0"/>
    <n v="0"/>
    <n v="1"/>
    <n v="2"/>
    <x v="0"/>
  </r>
  <r>
    <s v="P2 - Find out if you need a Visa tool (simple edits) - Add Transit - Staged by COB"/>
    <d v="2025-04-24T00:00:00"/>
    <d v="2025-04-24T00:00:00"/>
    <d v="2025-04-24T00:00:00"/>
    <m/>
    <x v="15"/>
    <x v="0"/>
    <x v="0"/>
    <s v="Priority 2"/>
    <n v="3"/>
    <m/>
    <s v="Publishing team"/>
    <m/>
    <n v="2"/>
    <m/>
    <m/>
    <m/>
    <s v="Maintenance"/>
    <x v="0"/>
    <n v="0"/>
    <n v="0"/>
    <s v="0"/>
    <x v="0"/>
  </r>
  <r>
    <s v="P1 - April 16th - Upload updated PDF version for form IMM 5707"/>
    <d v="2025-04-14T00:00:00"/>
    <d v="2025-04-14T00:00:00"/>
    <d v="2025-04-14T00:00:00"/>
    <d v="2025-04-16T00:00:00"/>
    <x v="15"/>
    <x v="1"/>
    <x v="0"/>
    <s v="Priority 1"/>
    <n v="3"/>
    <m/>
    <s v="Viviane Umutesi"/>
    <m/>
    <m/>
    <m/>
    <n v="2"/>
    <m/>
    <s v="File Upload"/>
    <x v="0"/>
    <n v="0"/>
    <n v="8"/>
    <n v="2"/>
    <x v="0"/>
  </r>
  <r>
    <s v="CAS/CCC weekly update"/>
    <d v="2025-04-15T00:00:00"/>
    <d v="2025-04-25T00:00:00"/>
    <d v="2025-04-25T00:00:00"/>
    <d v="2025-04-21T00:00:00"/>
    <x v="16"/>
    <x v="0"/>
    <x v="0"/>
    <s v="Priority 1"/>
    <n v="3"/>
    <m/>
    <s v="Candace Mantha "/>
    <m/>
    <n v="2"/>
    <m/>
    <m/>
    <m/>
    <s v="Update (Basic)"/>
    <x v="0"/>
    <n v="0"/>
    <n v="0"/>
    <n v="4"/>
    <x v="0"/>
  </r>
  <r>
    <s v="P1 - April 28 - Remove Work permit question on SP H2A"/>
    <d v="2025-04-24T00:00:00"/>
    <d v="2025-04-24T00:00:00"/>
    <d v="2025-04-24T00:00:00"/>
    <d v="2025-04-28T00:00:00"/>
    <x v="17"/>
    <x v="0"/>
    <x v="0"/>
    <s v="Priority 1"/>
    <n v="3"/>
    <n v="20"/>
    <s v="Emilien Maubant"/>
    <m/>
    <n v="2"/>
    <m/>
    <m/>
    <m/>
    <s v="Field Flow"/>
    <x v="0"/>
    <n v="0"/>
    <n v="2"/>
    <n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d v="2025-04-01T00:00:00"/>
    <d v="2025-04-02T00:00:00"/>
    <d v="2025-04-02T00:00:00"/>
    <d v="2025-04-02T00:00:00"/>
    <d v="2025-04-03T00:00:00"/>
    <x v="0"/>
    <m/>
    <s v="Priority 1"/>
    <n v="3"/>
    <m/>
    <s v="Beatrice Angulo "/>
    <m/>
    <n v="2"/>
    <m/>
    <n v="2"/>
    <m/>
    <s v="File Upload"/>
    <x v="0"/>
  </r>
  <r>
    <x v="1"/>
    <d v="2025-03-11T00:00:00"/>
    <d v="2025-03-11T00:00:00"/>
    <d v="2025-03-19T00:00:00"/>
    <d v="2025-04-04T00:00:00"/>
    <d v="2025-04-04T00:00:00"/>
    <x v="1"/>
    <s v="Requires QA"/>
    <s v="Priority 1"/>
    <n v="25"/>
    <m/>
    <s v="Jean-Pierre Friquin"/>
    <n v="42"/>
    <n v="2"/>
    <m/>
    <m/>
    <m/>
    <s v="Corporate"/>
    <x v="0"/>
  </r>
  <r>
    <x v="2"/>
    <d v="2025-04-07T00:00:00"/>
    <d v="2025-04-07T00:00:00"/>
    <d v="2025-04-07T00:00:00"/>
    <d v="2025-04-08T00:00:00"/>
    <d v="2025-04-07T00:00:00"/>
    <x v="1"/>
    <m/>
    <s v="Priority 1"/>
    <n v="3"/>
    <m/>
    <s v="Tracy Dransfield"/>
    <m/>
    <n v="2"/>
    <m/>
    <m/>
    <m/>
    <s v="Update (Basic)"/>
    <x v="0"/>
  </r>
  <r>
    <x v="3"/>
    <d v="2025-03-24T00:00:00"/>
    <d v="2025-04-04T00:00:00"/>
    <d v="2025-04-07T00:00:00"/>
    <d v="2025-04-08T00:00:00"/>
    <d v="2025-04-07T00:00:00"/>
    <x v="1"/>
    <m/>
    <s v="Priority 1"/>
    <n v="25"/>
    <m/>
    <s v="Gabrielle Michaud"/>
    <m/>
    <m/>
    <m/>
    <m/>
    <m/>
    <s v="Non-Publishing Tasks"/>
    <x v="1"/>
  </r>
  <r>
    <x v="4"/>
    <d v="2025-02-04T00:00:00"/>
    <d v="2025-04-08T00:00:00"/>
    <d v="2025-04-08T00:00:00"/>
    <m/>
    <d v="2025-04-08T00:00:00"/>
    <x v="1"/>
    <m/>
    <s v="Priority 3"/>
    <n v="3"/>
    <m/>
    <s v="Tracy Dransfield"/>
    <m/>
    <n v="4"/>
    <m/>
    <m/>
    <m/>
    <s v="Maintenance"/>
    <x v="0"/>
  </r>
  <r>
    <x v="5"/>
    <d v="2025-04-09T00:00:00"/>
    <d v="2025-04-09T00:00:00"/>
    <d v="2025-04-09T00:00:00"/>
    <d v="2025-04-09T00:00:00"/>
    <d v="2025-04-09T00:00:00"/>
    <x v="1"/>
    <s v="Last minute, Requires OT"/>
    <s v="Priority 1"/>
    <n v="3"/>
    <m/>
    <s v="Egor Evseev"/>
    <m/>
    <n v="20"/>
    <m/>
    <m/>
    <m/>
    <s v="Internet-Pub Overflow"/>
    <x v="0"/>
  </r>
  <r>
    <x v="6"/>
    <d v="2025-04-04T00:00:00"/>
    <d v="2025-04-04T00:00:00"/>
    <d v="2025-04-09T00:00:00"/>
    <d v="2025-04-09T00:00:00"/>
    <d v="2025-04-09T00:00:00"/>
    <x v="1"/>
    <m/>
    <s v="Priority 2"/>
    <n v="25"/>
    <m/>
    <s v="Gabrielle Michaud"/>
    <m/>
    <m/>
    <m/>
    <m/>
    <m/>
    <s v="Non-Publishing Tasks"/>
    <x v="0"/>
  </r>
  <r>
    <x v="7"/>
    <d v="2025-03-05T00:00:00"/>
    <d v="2025-04-09T00:00:00"/>
    <d v="2025-04-11T00:00:00"/>
    <m/>
    <d v="2025-04-11T00:00:00"/>
    <x v="1"/>
    <m/>
    <s v="Priority 3"/>
    <n v="10"/>
    <m/>
    <m/>
    <n v="3"/>
    <m/>
    <m/>
    <m/>
    <m/>
    <s v="Maintenance"/>
    <x v="0"/>
  </r>
  <r>
    <x v="8"/>
    <d v="2025-04-07T00:00:00"/>
    <d v="2025-04-14T00:00:00"/>
    <d v="2025-04-14T00:00:00"/>
    <d v="2025-04-14T00:00:00"/>
    <d v="2025-04-14T00:00:00"/>
    <x v="1"/>
    <m/>
    <s v="Priority 1"/>
    <n v="3"/>
    <m/>
    <s v="Michael Arthur"/>
    <m/>
    <n v="10"/>
    <m/>
    <m/>
    <m/>
    <s v="Update (Basic)"/>
    <x v="0"/>
  </r>
  <r>
    <x v="9"/>
    <d v="2025-04-15T00:00:00"/>
    <d v="2025-04-14T00:00:00"/>
    <d v="2025-04-15T00:00:00"/>
    <m/>
    <d v="2025-04-15T00:00:00"/>
    <x v="1"/>
    <m/>
    <s v="Priority 2"/>
    <n v="3"/>
    <m/>
    <s v="Michael Arthur"/>
    <m/>
    <n v="2"/>
    <m/>
    <m/>
    <m/>
    <s v="Update (Basic)"/>
    <x v="0"/>
  </r>
  <r>
    <x v="10"/>
    <d v="2025-04-01T00:00:00"/>
    <d v="2025-04-01T00:00:00"/>
    <d v="2025-04-01T00:00:00"/>
    <d v="2025-04-01T00:00:00"/>
    <d v="2025-04-01T00:00:00"/>
    <x v="2"/>
    <m/>
    <s v="Priority 1"/>
    <n v="3"/>
    <m/>
    <s v="Viviane Umutesi"/>
    <m/>
    <n v="6"/>
    <n v="6"/>
    <m/>
    <m/>
    <s v="Update (Basic)"/>
    <x v="0"/>
  </r>
  <r>
    <x v="11"/>
    <d v="2025-03-24T00:00:00"/>
    <d v="2025-03-24T00:00:00"/>
    <d v="2025-03-24T00:00:00"/>
    <d v="2025-03-24T00:00:00"/>
    <d v="2025-04-04T00:00:00"/>
    <x v="2"/>
    <s v="Requires QA, Last minute"/>
    <s v="Priority 1"/>
    <n v="3"/>
    <m/>
    <s v="Tracy Dransfield"/>
    <m/>
    <n v="6"/>
    <m/>
    <m/>
    <m/>
    <s v="Internet-Pub Overflow"/>
    <x v="0"/>
  </r>
  <r>
    <x v="12"/>
    <d v="2025-04-07T00:00:00"/>
    <d v="2025-04-07T00:00:00"/>
    <d v="2025-04-07T00:00:00"/>
    <d v="2025-04-11T00:00:00"/>
    <d v="2025-04-07T00:00:00"/>
    <x v="2"/>
    <m/>
    <s v="Priority 1"/>
    <n v="3"/>
    <m/>
    <s v="Viviane Umutesi"/>
    <m/>
    <n v="16"/>
    <m/>
    <m/>
    <m/>
    <s v="Update (Basic)"/>
    <x v="0"/>
  </r>
  <r>
    <x v="13"/>
    <d v="2025-04-04T00:00:00"/>
    <d v="2025-04-04T00:00:00"/>
    <d v="2025-04-04T00:00:00"/>
    <d v="2025-04-10T00:00:00"/>
    <d v="2025-04-07T00:00:00"/>
    <x v="2"/>
    <m/>
    <s v="Priority 1"/>
    <n v="3"/>
    <m/>
    <s v="Viviane Umutesi "/>
    <m/>
    <n v="2"/>
    <m/>
    <n v="2"/>
    <m/>
    <s v="File Upload"/>
    <x v="0"/>
  </r>
  <r>
    <x v="14"/>
    <d v="2025-04-01T00:00:00"/>
    <d v="2025-04-01T00:00:00"/>
    <d v="2025-04-04T00:00:00"/>
    <d v="2025-04-14T00:00:00"/>
    <d v="2025-04-14T00:00:00"/>
    <x v="2"/>
    <s v="Requires QA"/>
    <s v="Priority 1"/>
    <n v="10"/>
    <m/>
    <s v="Elie Abiraad, Geneviève Beaulé"/>
    <n v="2"/>
    <n v="4"/>
    <m/>
    <n v="6"/>
    <m/>
    <s v="Corporate"/>
    <x v="0"/>
  </r>
  <r>
    <x v="15"/>
    <d v="2025-02-12T00:00:00"/>
    <d v="2025-03-07T00:00:00"/>
    <d v="2025-03-20T00:00:00"/>
    <d v="2025-03-21T00:00:00"/>
    <d v="2025-04-14T00:00:00"/>
    <x v="2"/>
    <m/>
    <s v="Priority 1"/>
    <n v="25"/>
    <m/>
    <s v="Nicholas Carriere"/>
    <n v="4"/>
    <n v="2"/>
    <m/>
    <m/>
    <m/>
    <s v="Corporate"/>
    <x v="0"/>
  </r>
  <r>
    <x v="16"/>
    <d v="2025-04-15T00:00:00"/>
    <d v="2025-04-15T00:00:00"/>
    <d v="2025-04-15T00:00:00"/>
    <d v="2025-04-16T00:00:00"/>
    <d v="2025-04-17T00:00:00"/>
    <x v="2"/>
    <m/>
    <s v="Priority 1"/>
    <n v="3"/>
    <m/>
    <s v="Viviane Umutesi "/>
    <m/>
    <n v="1"/>
    <m/>
    <n v="1"/>
    <m/>
    <s v="File Upload"/>
    <x v="0"/>
  </r>
  <r>
    <x v="17"/>
    <d v="2025-04-14T00:00:00"/>
    <d v="2025-04-14T00:00:00"/>
    <d v="2025-04-14T00:00:00"/>
    <d v="2025-04-16T00:00:00"/>
    <d v="2025-04-24T00:00:00"/>
    <x v="2"/>
    <m/>
    <s v="Priority 1"/>
    <n v="3"/>
    <m/>
    <s v="Viviane Umutesi"/>
    <m/>
    <m/>
    <m/>
    <n v="2"/>
    <m/>
    <s v="File Upload"/>
    <x v="0"/>
  </r>
  <r>
    <x v="18"/>
    <d v="2025-04-02T00:00:00"/>
    <d v="2025-04-02T00:00:00"/>
    <d v="2025-04-02T00:00:00"/>
    <d v="2025-04-02T00:00:00"/>
    <d v="2025-04-02T00:00:00"/>
    <x v="3"/>
    <m/>
    <m/>
    <n v="3"/>
    <m/>
    <s v="Karine Bédard"/>
    <m/>
    <n v="1"/>
    <m/>
    <m/>
    <m/>
    <s v="Update (Basic)"/>
    <x v="0"/>
  </r>
  <r>
    <x v="19"/>
    <d v="2025-03-31T00:00:00"/>
    <d v="2025-04-01T00:00:00"/>
    <d v="2025-04-01T00:00:00"/>
    <d v="2025-04-01T00:00:00"/>
    <d v="2025-04-02T00:00:00"/>
    <x v="3"/>
    <m/>
    <s v="Priority 1"/>
    <n v="3"/>
    <m/>
    <s v="Danna El-Arab"/>
    <n v="2"/>
    <n v="6"/>
    <m/>
    <m/>
    <m/>
    <s v="Subway"/>
    <x v="0"/>
  </r>
  <r>
    <x v="20"/>
    <d v="2025-04-03T00:00:00"/>
    <d v="2025-04-02T00:00:00"/>
    <d v="2025-04-02T00:00:00"/>
    <m/>
    <d v="2025-04-03T00:00:00"/>
    <x v="3"/>
    <m/>
    <m/>
    <n v="3"/>
    <m/>
    <s v="Liza Hamilton"/>
    <m/>
    <n v="2"/>
    <m/>
    <m/>
    <m/>
    <s v="Field Flow"/>
    <x v="0"/>
  </r>
  <r>
    <x v="21"/>
    <d v="2025-04-08T00:00:00"/>
    <d v="2025-04-07T00:00:00"/>
    <d v="2025-04-08T00:00:00"/>
    <d v="2025-04-09T00:00:00"/>
    <d v="2025-04-08T00:00:00"/>
    <x v="3"/>
    <m/>
    <s v="Priority 2"/>
    <n v="3"/>
    <m/>
    <s v="Nadya Rustandjaja "/>
    <m/>
    <n v="8"/>
    <m/>
    <m/>
    <m/>
    <s v="Update (Basic)"/>
    <x v="0"/>
  </r>
  <r>
    <x v="22"/>
    <d v="2025-04-10T00:00:00"/>
    <d v="2025-04-10T00:00:00"/>
    <d v="2025-04-17T00:00:00"/>
    <d v="2025-05-30T00:00:00"/>
    <d v="2025-04-22T00:00:00"/>
    <x v="3"/>
    <s v="Requires QA"/>
    <s v="Priority 2"/>
    <n v="10"/>
    <m/>
    <s v="John van Weringh"/>
    <n v="2"/>
    <m/>
    <m/>
    <m/>
    <m/>
    <s v="Non-Publishing Tasks"/>
    <x v="0"/>
  </r>
  <r>
    <x v="23"/>
    <d v="2025-03-25T00:00:00"/>
    <d v="2025-04-01T00:00:00"/>
    <d v="2025-04-01T00:00:00"/>
    <d v="2025-04-02T00:00:00"/>
    <d v="2025-04-01T00:00:00"/>
    <x v="4"/>
    <m/>
    <s v="Priority 1"/>
    <n v="3"/>
    <m/>
    <s v="Alejandro Fuenmayor, Phil Fernandez, Simran Gill"/>
    <m/>
    <n v="2"/>
    <m/>
    <n v="4"/>
    <m/>
    <s v="Update (Basic)"/>
    <x v="0"/>
  </r>
  <r>
    <x v="24"/>
    <d v="2025-03-27T00:00:00"/>
    <d v="2025-03-27T00:00:00"/>
    <d v="2025-03-27T00:00:00"/>
    <m/>
    <d v="2025-04-03T00:00:00"/>
    <x v="4"/>
    <m/>
    <s v="Priority 2"/>
    <n v="3"/>
    <m/>
    <s v="Danna El-Arab"/>
    <m/>
    <n v="2"/>
    <m/>
    <n v="1"/>
    <m/>
    <s v="File Upload"/>
    <x v="0"/>
  </r>
  <r>
    <x v="25"/>
    <d v="2025-04-04T00:00:00"/>
    <d v="2025-04-04T00:00:00"/>
    <d v="2025-04-04T00:00:00"/>
    <d v="2025-04-07T00:00:00"/>
    <d v="2025-04-04T00:00:00"/>
    <x v="4"/>
    <s v="HC Task"/>
    <s v="Priority 1"/>
    <n v="3"/>
    <m/>
    <s v="Tracy Dransfield"/>
    <m/>
    <n v="8"/>
    <m/>
    <m/>
    <m/>
    <s v="Update (Basic)"/>
    <x v="0"/>
  </r>
  <r>
    <x v="26"/>
    <d v="2025-03-21T00:00:00"/>
    <d v="2025-03-21T00:00:00"/>
    <d v="2025-03-21T00:00:00"/>
    <d v="2025-03-26T00:00:00"/>
    <d v="2025-04-04T00:00:00"/>
    <x v="4"/>
    <m/>
    <s v="Priority 2"/>
    <n v="3"/>
    <m/>
    <s v="Ajay Nair "/>
    <m/>
    <n v="4"/>
    <m/>
    <m/>
    <m/>
    <s v="Update (Basic)"/>
    <x v="1"/>
  </r>
  <r>
    <x v="27"/>
    <d v="2025-03-03T00:00:00"/>
    <d v="2025-03-20T00:00:00"/>
    <d v="2025-03-21T00:00:00"/>
    <d v="2025-04-04T00:00:00"/>
    <d v="2025-04-04T00:00:00"/>
    <x v="4"/>
    <m/>
    <s v="Priority 2"/>
    <n v="3"/>
    <m/>
    <s v="Erin O'Brien"/>
    <m/>
    <n v="36"/>
    <n v="23"/>
    <m/>
    <n v="1"/>
    <s v="ROT TASK"/>
    <x v="1"/>
  </r>
  <r>
    <x v="28"/>
    <d v="2025-04-01T00:00:00"/>
    <d v="2025-04-07T00:00:00"/>
    <d v="2025-04-07T00:00:00"/>
    <d v="2025-04-07T00:00:00"/>
    <d v="2025-04-07T00:00:00"/>
    <x v="4"/>
    <m/>
    <s v="Priority 1"/>
    <n v="3"/>
    <m/>
    <s v="Candace Mantha "/>
    <m/>
    <n v="2"/>
    <m/>
    <m/>
    <m/>
    <s v="Update (Basic)"/>
    <x v="0"/>
  </r>
  <r>
    <x v="29"/>
    <d v="2023-09-15T00:00:00"/>
    <d v="2023-09-14T00:00:00"/>
    <d v="2023-09-15T00:00:00"/>
    <m/>
    <d v="2025-04-07T00:00:00"/>
    <x v="4"/>
    <s v="HC Task, Cancelled"/>
    <s v="Priority 2"/>
    <n v="3"/>
    <m/>
    <s v="Viviane Umutesi"/>
    <m/>
    <n v="5"/>
    <m/>
    <m/>
    <m/>
    <s v="Update (Basic)"/>
    <x v="0"/>
  </r>
  <r>
    <x v="30"/>
    <d v="2025-03-20T00:00:00"/>
    <d v="2025-03-21T00:00:00"/>
    <d v="2025-03-25T00:00:00"/>
    <d v="2025-03-24T00:00:00"/>
    <d v="2025-04-08T00:00:00"/>
    <x v="4"/>
    <s v="Requires QA"/>
    <s v="Priority 2"/>
    <n v="3"/>
    <m/>
    <s v="Egor "/>
    <n v="2"/>
    <m/>
    <m/>
    <n v="1"/>
    <m/>
    <s v="Custom Coding"/>
    <x v="0"/>
  </r>
  <r>
    <x v="23"/>
    <d v="2025-04-01T00:00:00"/>
    <d v="2025-04-09T00:00:00"/>
    <d v="2025-04-09T00:00:00"/>
    <d v="2025-04-09T00:00:00"/>
    <d v="2025-04-10T00:00:00"/>
    <x v="4"/>
    <m/>
    <s v="Priority 1"/>
    <n v="3"/>
    <m/>
    <s v="Alejandro Fuenmayor, Phil Fernandez"/>
    <m/>
    <n v="2"/>
    <m/>
    <n v="4"/>
    <m/>
    <s v="Update (Basic)"/>
    <x v="0"/>
  </r>
  <r>
    <x v="31"/>
    <d v="2024-08-02T00:00:00"/>
    <d v="2025-04-11T00:00:00"/>
    <d v="2025-04-11T00:00:00"/>
    <m/>
    <d v="2025-04-11T00:00:00"/>
    <x v="4"/>
    <m/>
    <s v="Priority 3"/>
    <n v="3"/>
    <m/>
    <s v="Michael Arthur "/>
    <n v="1"/>
    <m/>
    <m/>
    <m/>
    <m/>
    <s v="Non-Publishing Tasks"/>
    <x v="1"/>
  </r>
  <r>
    <x v="32"/>
    <d v="2024-06-04T00:00:00"/>
    <d v="2024-06-07T00:00:00"/>
    <d v="2024-06-10T00:00:00"/>
    <m/>
    <d v="2025-04-11T00:00:00"/>
    <x v="4"/>
    <s v="Cancelled"/>
    <s v="Priority 3"/>
    <n v="3"/>
    <m/>
    <s v="Michael Arthur"/>
    <m/>
    <n v="1"/>
    <m/>
    <m/>
    <m/>
    <s v="Non-Publishing Tasks"/>
    <x v="1"/>
  </r>
  <r>
    <x v="33"/>
    <d v="2025-04-08T00:00:00"/>
    <d v="2025-04-10T00:00:00"/>
    <d v="2025-04-10T00:00:00"/>
    <d v="2025-04-11T00:00:00"/>
    <d v="2025-04-11T00:00:00"/>
    <x v="4"/>
    <s v="HC Task"/>
    <s v="Priority 1"/>
    <n v="3"/>
    <m/>
    <s v="Viviane Umutesi "/>
    <m/>
    <n v="4"/>
    <n v="4"/>
    <m/>
    <m/>
    <s v="Update (Basic)"/>
    <x v="0"/>
  </r>
  <r>
    <x v="34"/>
    <d v="2024-05-14T00:00:00"/>
    <d v="2024-05-15T00:00:00"/>
    <d v="2024-05-16T00:00:00"/>
    <m/>
    <d v="2025-04-11T00:00:00"/>
    <x v="4"/>
    <m/>
    <s v="Priority 3"/>
    <n v="10"/>
    <m/>
    <s v="MichaelArthur "/>
    <m/>
    <m/>
    <m/>
    <m/>
    <m/>
    <s v="Non-Publishing Tasks"/>
    <x v="2"/>
  </r>
  <r>
    <x v="35"/>
    <d v="2025-03-21T00:00:00"/>
    <d v="2025-04-14T00:00:00"/>
    <d v="2025-04-14T00:00:00"/>
    <d v="2025-04-14T00:00:00"/>
    <d v="2025-04-14T00:00:00"/>
    <x v="4"/>
    <m/>
    <s v="Priority 1"/>
    <n v="3"/>
    <m/>
    <s v="OSC MIBS / MISA CSO (IRCC)"/>
    <m/>
    <n v="8"/>
    <m/>
    <n v="4"/>
    <m/>
    <s v="File Upload"/>
    <x v="0"/>
  </r>
  <r>
    <x v="28"/>
    <d v="2025-04-07T00:00:00"/>
    <d v="2025-04-15T00:00:00"/>
    <d v="2025-04-15T00:00:00"/>
    <d v="2025-04-14T00:00:00"/>
    <d v="2025-04-15T00:00:00"/>
    <x v="4"/>
    <m/>
    <s v="Priority 1"/>
    <n v="3"/>
    <m/>
    <s v="Candace Mantha "/>
    <m/>
    <n v="2"/>
    <m/>
    <m/>
    <m/>
    <s v="Update (Basic)"/>
    <x v="0"/>
  </r>
  <r>
    <x v="36"/>
    <d v="2025-04-11T00:00:00"/>
    <d v="2025-04-11T00:00:00"/>
    <d v="2025-04-11T00:00:00"/>
    <d v="2025-04-14T00:00:00"/>
    <d v="2025-04-15T00:00:00"/>
    <x v="4"/>
    <m/>
    <s v="Priority 1"/>
    <n v="3"/>
    <m/>
    <s v="Viviane Umutesi"/>
    <m/>
    <n v="4"/>
    <m/>
    <n v="2"/>
    <m/>
    <s v="File Upload"/>
    <x v="0"/>
  </r>
  <r>
    <x v="37"/>
    <d v="2025-04-15T00:00:00"/>
    <d v="2025-04-15T00:00:00"/>
    <d v="2025-04-15T00:00:00"/>
    <d v="2025-04-16T00:00:00"/>
    <d v="2025-04-16T00:00:00"/>
    <x v="4"/>
    <s v="HC Task"/>
    <s v="Priority 2"/>
    <n v="3"/>
    <m/>
    <s v="Sean Mueller"/>
    <m/>
    <n v="8"/>
    <m/>
    <m/>
    <m/>
    <s v="Update (Basic)"/>
    <x v="0"/>
  </r>
  <r>
    <x v="38"/>
    <d v="2025-04-14T00:00:00"/>
    <d v="2025-04-14T00:00:00"/>
    <d v="2025-04-14T00:00:00"/>
    <d v="2025-04-14T00:00:00"/>
    <d v="2025-04-16T00:00:00"/>
    <x v="4"/>
    <m/>
    <s v="Priority 2"/>
    <n v="3"/>
    <m/>
    <s v="Beatrice Angulo"/>
    <m/>
    <n v="2"/>
    <m/>
    <m/>
    <m/>
    <s v="Field Flow"/>
    <x v="0"/>
  </r>
  <r>
    <x v="23"/>
    <d v="2025-04-10T00:00:00"/>
    <d v="2025-04-15T00:00:00"/>
    <d v="2025-04-15T00:00:00"/>
    <d v="2025-04-16T00:00:00"/>
    <d v="2025-04-16T00:00:00"/>
    <x v="4"/>
    <m/>
    <s v="Priority 1"/>
    <n v="3"/>
    <m/>
    <s v="Alejandro Fuenmayor, Phil Fernandez"/>
    <m/>
    <n v="2"/>
    <m/>
    <n v="4"/>
    <m/>
    <s v="Update (Basic)"/>
    <x v="0"/>
  </r>
  <r>
    <x v="39"/>
    <d v="2025-03-14T00:00:00"/>
    <d v="2025-04-07T00:00:00"/>
    <d v="2025-04-17T00:00:00"/>
    <d v="2025-04-08T00:00:00"/>
    <d v="2025-04-17T00:00:00"/>
    <x v="4"/>
    <m/>
    <s v="Priority 2"/>
    <n v="10"/>
    <m/>
    <s v="Malika Rozon-Richer"/>
    <m/>
    <m/>
    <n v="4"/>
    <m/>
    <n v="1348"/>
    <s v="ROT TASK"/>
    <x v="1"/>
  </r>
  <r>
    <x v="40"/>
    <d v="2025-04-15T00:00:00"/>
    <d v="2025-04-15T00:00:00"/>
    <d v="2025-04-15T00:00:00"/>
    <m/>
    <d v="2025-04-17T00:00:00"/>
    <x v="4"/>
    <m/>
    <s v="Priority 3"/>
    <n v="3"/>
    <m/>
    <s v="Amy Foulkes, Alex Shannon "/>
    <m/>
    <m/>
    <m/>
    <m/>
    <m/>
    <s v="Maintenance"/>
    <x v="1"/>
  </r>
  <r>
    <x v="41"/>
    <d v="2025-04-16T00:00:00"/>
    <d v="2025-04-16T00:00:00"/>
    <d v="2025-04-16T00:00:00"/>
    <d v="2025-04-16T00:00:00"/>
    <d v="2025-04-17T00:00:00"/>
    <x v="4"/>
    <m/>
    <s v="Priority 1"/>
    <n v="3"/>
    <m/>
    <s v="Viviane Umutesi "/>
    <m/>
    <n v="2"/>
    <m/>
    <m/>
    <m/>
    <s v="Update (Basic)"/>
    <x v="0"/>
  </r>
  <r>
    <x v="42"/>
    <d v="2025-04-21T00:00:00"/>
    <d v="2025-04-22T00:00:00"/>
    <d v="2025-04-22T00:00:00"/>
    <d v="2025-04-24T00:00:00"/>
    <d v="2025-04-22T00:00:00"/>
    <x v="4"/>
    <m/>
    <s v="Priority 2"/>
    <n v="3"/>
    <m/>
    <s v="Malika Rozon-Richer"/>
    <m/>
    <n v="12"/>
    <n v="2"/>
    <m/>
    <n v="2"/>
    <s v="ROT TASK"/>
    <x v="1"/>
  </r>
  <r>
    <x v="43"/>
    <d v="2025-04-15T00:00:00"/>
    <d v="2025-04-15T00:00:00"/>
    <d v="2025-04-15T00:00:00"/>
    <d v="2025-04-15T00:00:00"/>
    <d v="2025-04-23T00:00:00"/>
    <x v="4"/>
    <s v="HC Task"/>
    <s v="Priority 1"/>
    <n v="3"/>
    <m/>
    <s v="Viviane Umutesi"/>
    <m/>
    <n v="5"/>
    <m/>
    <m/>
    <m/>
    <s v="Update (Basic)"/>
    <x v="0"/>
  </r>
  <r>
    <x v="23"/>
    <d v="2025-04-16T00:00:00"/>
    <d v="2025-04-23T00:00:00"/>
    <d v="2025-04-23T00:00:00"/>
    <d v="2025-04-23T00:00:00"/>
    <d v="2025-04-23T00:00:00"/>
    <x v="4"/>
    <m/>
    <s v="Priority 1"/>
    <n v="3"/>
    <m/>
    <s v="Alejandro Fuenmayor, Phil Fernandez"/>
    <m/>
    <n v="2"/>
    <m/>
    <n v="4"/>
    <m/>
    <s v="Update (Basic)"/>
    <x v="0"/>
  </r>
  <r>
    <x v="44"/>
    <d v="2025-04-23T00:00:00"/>
    <d v="2025-04-23T00:00:00"/>
    <d v="2025-04-23T00:00:00"/>
    <d v="2025-04-25T00:00:00"/>
    <d v="2025-04-24T00:00:00"/>
    <x v="4"/>
    <s v="HC Task"/>
    <s v="Priority 2"/>
    <n v="3"/>
    <m/>
    <s v="Aloisa Santos "/>
    <m/>
    <n v="5"/>
    <m/>
    <m/>
    <m/>
    <s v="Update (Basic)"/>
    <x v="0"/>
  </r>
  <r>
    <x v="45"/>
    <d v="2025-04-24T00:00:00"/>
    <d v="2025-04-24T00:00:00"/>
    <d v="2025-04-24T00:00:00"/>
    <m/>
    <d v="2025-04-24T00:00:00"/>
    <x v="4"/>
    <m/>
    <s v="Priority 2"/>
    <n v="3"/>
    <m/>
    <s v="Publishing team"/>
    <m/>
    <n v="2"/>
    <m/>
    <m/>
    <m/>
    <s v="Maintenance"/>
    <x v="0"/>
  </r>
  <r>
    <x v="28"/>
    <d v="2025-04-15T00:00:00"/>
    <d v="2025-04-25T00:00:00"/>
    <d v="2025-04-25T00:00:00"/>
    <d v="2025-04-21T00:00:00"/>
    <d v="2025-04-25T00:00:00"/>
    <x v="4"/>
    <m/>
    <s v="Priority 1"/>
    <n v="3"/>
    <m/>
    <s v="Candace Mantha "/>
    <m/>
    <n v="2"/>
    <m/>
    <m/>
    <m/>
    <s v="Update (Basic)"/>
    <x v="0"/>
  </r>
  <r>
    <x v="46"/>
    <d v="2025-04-24T00:00:00"/>
    <d v="2025-04-24T00:00:00"/>
    <d v="2025-04-24T00:00:00"/>
    <d v="2025-04-28T00:00:00"/>
    <d v="2025-04-28T00:00:00"/>
    <x v="4"/>
    <m/>
    <s v="Priority 1"/>
    <n v="3"/>
    <n v="20"/>
    <s v="Emilien Maubant"/>
    <m/>
    <n v="2"/>
    <m/>
    <m/>
    <m/>
    <s v="Field Flow"/>
    <x v="0"/>
  </r>
  <r>
    <x v="47"/>
    <d v="2025-03-27T00:00:00"/>
    <d v="2025-03-31T00:00:00"/>
    <d v="2025-04-01T00:00:00"/>
    <d v="2025-04-01T00:00:00"/>
    <d v="2025-04-10T00:00:00"/>
    <x v="5"/>
    <m/>
    <s v="Priority 3"/>
    <n v="3"/>
    <m/>
    <s v="Jessica Blanchard "/>
    <n v="0"/>
    <n v="2"/>
    <n v="0"/>
    <n v="0"/>
    <n v="0"/>
    <s v="Corporate"/>
    <x v="1"/>
  </r>
  <r>
    <x v="48"/>
    <d v="2025-03-03T00:00:00"/>
    <d v="2025-03-05T00:00:00"/>
    <d v="2025-03-18T00:00:00"/>
    <d v="2025-05-20T00:00:00"/>
    <d v="2025-04-10T00:00:00"/>
    <x v="5"/>
    <s v="Requires QA"/>
    <s v="Priority 2"/>
    <n v="25"/>
    <m/>
    <s v="John van Weringh (he | il)"/>
    <n v="4"/>
    <m/>
    <m/>
    <m/>
    <m/>
    <s v="Corporat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9E1C78-50D8-46AE-ADF0-275749D09205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colHeaderCaption="Meets SLA">
  <location ref="B4:D13" firstHeaderRow="1" firstDataRow="2" firstDataCol="1" rowPageCount="2" colPageCount="1"/>
  <pivotFields count="26">
    <pivotField dataField="1" showAll="0"/>
    <pivotField numFmtId="14" showAll="0"/>
    <pivotField showAll="0"/>
    <pivotField showAll="0"/>
    <pivotField showAll="0"/>
    <pivotField numFmtId="14" showAll="0">
      <items count="222">
        <item m="1" x="197"/>
        <item m="1" x="141"/>
        <item m="1" x="84"/>
        <item m="1" x="85"/>
        <item m="1" x="86"/>
        <item m="1" x="22"/>
        <item m="1" x="110"/>
        <item m="1" x="151"/>
        <item m="1" x="87"/>
        <item m="1" x="88"/>
        <item m="1" x="142"/>
        <item m="1" x="89"/>
        <item m="1" x="143"/>
        <item m="1" x="144"/>
        <item m="1" x="90"/>
        <item m="1" x="91"/>
        <item m="1" x="145"/>
        <item m="1" x="92"/>
        <item m="1" x="23"/>
        <item m="1" x="93"/>
        <item m="1" x="111"/>
        <item m="1" x="94"/>
        <item m="1" x="209"/>
        <item m="1" x="95"/>
        <item m="1" x="43"/>
        <item m="1" x="152"/>
        <item m="1" x="210"/>
        <item m="1" x="96"/>
        <item m="1" x="97"/>
        <item m="1" x="26"/>
        <item m="1" x="98"/>
        <item m="1" x="99"/>
        <item m="1" x="100"/>
        <item m="1" x="101"/>
        <item m="1" x="121"/>
        <item m="1" x="153"/>
        <item m="1" x="154"/>
        <item m="1" x="112"/>
        <item m="1" x="45"/>
        <item m="1" x="211"/>
        <item m="1" x="146"/>
        <item m="1" x="122"/>
        <item m="1" x="29"/>
        <item m="1" x="46"/>
        <item m="1" x="212"/>
        <item m="1" x="214"/>
        <item m="1" x="155"/>
        <item m="1" x="47"/>
        <item m="1" x="48"/>
        <item m="1" x="123"/>
        <item m="1" x="102"/>
        <item m="1" x="49"/>
        <item m="1" x="156"/>
        <item m="1" x="124"/>
        <item m="1" x="216"/>
        <item m="1" x="215"/>
        <item m="1" x="51"/>
        <item m="1" x="147"/>
        <item m="1" x="24"/>
        <item m="1" x="52"/>
        <item m="1" x="217"/>
        <item m="1" x="38"/>
        <item m="1" x="125"/>
        <item m="1" x="53"/>
        <item m="1" x="157"/>
        <item m="1" x="54"/>
        <item m="1" x="148"/>
        <item m="1" x="104"/>
        <item m="1" x="56"/>
        <item m="1" x="127"/>
        <item m="1" x="149"/>
        <item m="1" x="128"/>
        <item m="1" x="57"/>
        <item m="1" x="218"/>
        <item m="1" x="36"/>
        <item m="1" x="130"/>
        <item m="1" x="105"/>
        <item m="1" x="158"/>
        <item m="1" x="131"/>
        <item m="1" x="44"/>
        <item m="1" x="58"/>
        <item m="1" x="59"/>
        <item m="1" x="150"/>
        <item m="1" x="135"/>
        <item m="1" x="60"/>
        <item m="1" x="219"/>
        <item m="1" x="61"/>
        <item m="1" x="159"/>
        <item m="1" x="62"/>
        <item m="1" x="126"/>
        <item m="1" x="106"/>
        <item m="1" x="160"/>
        <item m="1" x="107"/>
        <item m="1" x="63"/>
        <item m="1" x="64"/>
        <item m="1" x="136"/>
        <item m="1" x="137"/>
        <item m="1" x="50"/>
        <item m="1" x="108"/>
        <item m="1" x="162"/>
        <item m="1" x="163"/>
        <item m="1" x="69"/>
        <item m="1" x="220"/>
        <item m="1" x="164"/>
        <item m="1" x="19"/>
        <item m="1" x="70"/>
        <item m="1" x="71"/>
        <item m="1" x="72"/>
        <item m="1" x="165"/>
        <item m="1" x="129"/>
        <item m="1" x="161"/>
        <item m="1" x="73"/>
        <item m="1" x="190"/>
        <item m="1" x="166"/>
        <item m="1" x="191"/>
        <item m="1" x="167"/>
        <item m="1" x="168"/>
        <item m="1" x="192"/>
        <item m="1" x="193"/>
        <item m="1" x="169"/>
        <item m="1" x="55"/>
        <item m="1" x="74"/>
        <item m="1" x="138"/>
        <item m="1" x="42"/>
        <item m="1" x="25"/>
        <item m="1" x="41"/>
        <item m="1" x="171"/>
        <item m="1" x="172"/>
        <item m="1" x="189"/>
        <item m="1" x="173"/>
        <item m="1" x="139"/>
        <item m="1" x="75"/>
        <item m="1" x="132"/>
        <item m="1" x="174"/>
        <item m="1" x="170"/>
        <item m="1" x="194"/>
        <item m="1" x="140"/>
        <item m="1" x="175"/>
        <item m="1" x="213"/>
        <item m="1" x="195"/>
        <item m="1" x="76"/>
        <item m="1" x="196"/>
        <item m="1" x="77"/>
        <item m="1" x="78"/>
        <item m="1" x="176"/>
        <item m="1" x="178"/>
        <item m="1" x="133"/>
        <item m="1" x="134"/>
        <item m="1" x="198"/>
        <item m="1" x="109"/>
        <item m="1" x="179"/>
        <item m="1" x="79"/>
        <item m="1" x="180"/>
        <item m="1" x="181"/>
        <item m="1" x="18"/>
        <item m="1" x="182"/>
        <item m="1" x="183"/>
        <item m="1" x="80"/>
        <item m="1" x="199"/>
        <item m="1" x="27"/>
        <item m="1" x="37"/>
        <item m="1" x="28"/>
        <item m="1" x="30"/>
        <item m="1" x="103"/>
        <item m="1" x="81"/>
        <item m="1" x="200"/>
        <item m="1" x="177"/>
        <item m="1" x="113"/>
        <item m="1" x="184"/>
        <item m="1" x="31"/>
        <item m="1" x="201"/>
        <item m="1" x="185"/>
        <item m="1" x="33"/>
        <item m="1" x="202"/>
        <item m="1" x="32"/>
        <item m="1" x="82"/>
        <item m="1" x="186"/>
        <item m="1" x="21"/>
        <item m="1" x="187"/>
        <item m="1" x="203"/>
        <item m="1" x="34"/>
        <item m="1" x="114"/>
        <item m="1" x="65"/>
        <item m="1" x="66"/>
        <item m="1" x="67"/>
        <item m="1" x="204"/>
        <item m="1" x="206"/>
        <item m="1" x="115"/>
        <item m="1" x="205"/>
        <item m="1" x="35"/>
        <item m="1" x="116"/>
        <item m="1" x="68"/>
        <item m="1" x="39"/>
        <item m="1" x="40"/>
        <item m="1" x="20"/>
        <item m="1" x="117"/>
        <item m="1" x="118"/>
        <item m="1" x="207"/>
        <item m="1" x="208"/>
        <item m="1" x="119"/>
        <item m="1" x="83"/>
        <item m="1" x="120"/>
        <item m="1" x="18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7">
        <item x="3"/>
        <item x="4"/>
        <item x="1"/>
        <item x="2"/>
        <item x="0"/>
        <item x="5"/>
        <item t="default"/>
      </items>
    </pivotField>
    <pivotField axis="axisPage" multipleItemSelectionAllowed="1" showAll="0">
      <items count="22">
        <item m="1" x="7"/>
        <item x="1"/>
        <item m="1" x="19"/>
        <item m="1" x="13"/>
        <item m="1" x="16"/>
        <item m="1" x="14"/>
        <item m="1" x="10"/>
        <item m="1" x="20"/>
        <item x="2"/>
        <item m="1" x="18"/>
        <item m="1" x="17"/>
        <item x="3"/>
        <item m="1" x="9"/>
        <item m="1" x="8"/>
        <item x="0"/>
        <item m="1" x="12"/>
        <item m="1" x="11"/>
        <item m="1" x="15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0"/>
        <item x="1"/>
        <item m="1" x="3"/>
        <item m="1" x="4"/>
        <item x="2"/>
        <item t="default"/>
      </items>
    </pivotField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axis="axisRow" showAll="0">
      <items count="15">
        <item sd="0" x="0"/>
        <item sd="0" x="1"/>
        <item sd="0" x="2"/>
        <item sd="0"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23"/>
    <field x="6"/>
  </rowFields>
  <rowItems count="8">
    <i>
      <x v="4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2"/>
  </colFields>
  <colItems count="2">
    <i>
      <x v="2"/>
    </i>
    <i t="grand">
      <x/>
    </i>
  </colItems>
  <pageFields count="2">
    <pageField fld="18" hier="-1"/>
    <pageField fld="7" hier="-1"/>
  </pageField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filters count="1">
    <filter fld="5" type="M4" evalOrder="-1" id="1">
      <autoFilter ref="A1">
        <filterColumn colId="0">
          <dynamicFilter type="M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5A0AA-8A67-4633-BC6F-153F7F238215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F7" firstHeaderRow="0" firstDataRow="1" firstDataCol="1" rowPageCount="1" colPageCount="1"/>
  <pivotFields count="19">
    <pivotField dataField="1" showAll="0">
      <items count="50">
        <item x="29"/>
        <item x="31"/>
        <item x="5"/>
        <item x="28"/>
        <item x="24"/>
        <item x="35"/>
        <item x="34"/>
        <item x="19"/>
        <item x="40"/>
        <item x="22"/>
        <item x="7"/>
        <item x="8"/>
        <item x="33"/>
        <item x="12"/>
        <item x="13"/>
        <item x="36"/>
        <item x="16"/>
        <item x="43"/>
        <item x="41"/>
        <item x="17"/>
        <item x="10"/>
        <item x="46"/>
        <item x="2"/>
        <item x="25"/>
        <item x="15"/>
        <item x="20"/>
        <item x="11"/>
        <item x="0"/>
        <item x="1"/>
        <item x="9"/>
        <item x="38"/>
        <item x="44"/>
        <item x="39"/>
        <item x="42"/>
        <item x="27"/>
        <item x="30"/>
        <item x="45"/>
        <item x="37"/>
        <item x="26"/>
        <item x="21"/>
        <item x="47"/>
        <item x="18"/>
        <item x="48"/>
        <item x="4"/>
        <item x="14"/>
        <item x="6"/>
        <item x="3"/>
        <item x="32"/>
        <item x="23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</pivotFields>
  <rowFields count="1">
    <field x="6"/>
  </rowFields>
  <rowItems count="4">
    <i>
      <x v="1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8" hier="-1"/>
  </pageFields>
  <dataFields count="4">
    <dataField name="Sum of New Pages" fld="12" baseField="0" baseItem="0"/>
    <dataField name="Sum of Updated Pages" fld="13" baseField="0" baseItem="0"/>
    <dataField name="Sum of Deleted Pages" fld="14" baseField="0" baseItem="0"/>
    <dataField name="#requests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A2F763-E27C-4F8F-B6F0-DF09CBB446A9}" name="Table22" displayName="Table22" ref="A1:W55" totalsRowShown="0" headerRowDxfId="33" dataDxfId="31" headerRowBorderDxfId="32">
  <autoFilter ref="A1:W55" xr:uid="{442D8D71-2613-4C93-B173-8466188A4793}"/>
  <sortState xmlns:xlrd2="http://schemas.microsoft.com/office/spreadsheetml/2017/richdata2" ref="A2:W55">
    <sortCondition ref="G1:G55"/>
  </sortState>
  <tableColumns count="23">
    <tableColumn id="1" xr3:uid="{8EFDF5E5-9604-4934-BA7A-6774622A1022}" name="Name" dataDxfId="30"/>
    <tableColumn id="2" xr3:uid="{B8126178-4798-4B53-96B5-39471211B492}" name="Created At" dataDxfId="5"/>
    <tableColumn id="3" xr3:uid="{0F2E4876-CE4F-4955-A973-648597B6368F}" name="Start Date" dataDxfId="4"/>
    <tableColumn id="4" xr3:uid="{D3A2E250-9387-44B1-822E-73D7E7F37889}" name="Staging date" dataDxfId="3"/>
    <tableColumn id="5" xr3:uid="{12AC7324-3A54-493C-BD3D-A6E4B062BA04}" name="Due Date" dataDxfId="2"/>
    <tableColumn id="6" xr3:uid="{8CB765CE-6DE1-48A3-BF99-C7EBA5CE14B3}" name="Completed At" dataDxfId="1"/>
    <tableColumn id="7" xr3:uid="{2BAB1818-A759-4F0A-9A6D-8078AE5D1D50}" name="Assignee" dataDxfId="29"/>
    <tableColumn id="8" xr3:uid="{AC66EE40-D620-4EA9-8B34-7C1A5A9EC88A}" name="Task parameters" dataDxfId="28"/>
    <tableColumn id="9" xr3:uid="{9343D322-611F-4F94-838F-0295FC9B1F74}" name="Task Priority - web" dataDxfId="27"/>
    <tableColumn id="10" xr3:uid="{617ED615-DE5A-4853-941B-E5F1D7B5C4E6}" name="Coding complexity" dataDxfId="26"/>
    <tableColumn id="23" xr3:uid="{B6156FCE-7A5B-49CC-A2F6-7F62CEC5D69A}" name="Time Spent" dataDxfId="6"/>
    <tableColumn id="11" xr3:uid="{E8E81115-DD41-4566-A86C-FD3C67DD4367}" name="Client" dataDxfId="25"/>
    <tableColumn id="12" xr3:uid="{288148B9-2A5E-4863-99DD-27C732DB4F90}" name="New Pages" dataDxfId="24"/>
    <tableColumn id="13" xr3:uid="{2C933E36-DEA3-4B1F-AF20-8EBA5FFEE8B7}" name="Updated Pages" dataDxfId="23"/>
    <tableColumn id="14" xr3:uid="{1DD3EB19-2E10-4C5E-9560-0698B3120F8A}" name="Deleted Pages" dataDxfId="22"/>
    <tableColumn id="15" xr3:uid="{9A1C2C96-06F0-4746-B7F0-215D4C79C72C}" name="Supporting Files" dataDxfId="21"/>
    <tableColumn id="16" xr3:uid="{037DA57B-23B4-4E9C-9176-8E3A7DB15937}" name="Deleted Supporting Files" dataDxfId="20"/>
    <tableColumn id="17" xr3:uid="{717A9F31-0338-42D1-82C5-B054C07FF3B3}" name="Task Type" dataDxfId="19"/>
    <tableColumn id="18" xr3:uid="{2017CF88-E0E3-480F-BD18-792D9065F9BC}" name="Source" dataDxfId="18"/>
    <tableColumn id="19" xr3:uid="{EEAE74D2-55C5-4176-8CCF-7A28093CA540}" name="Start date to staging" dataDxfId="17">
      <calculatedColumnFormula>IF(OR(C2="", D2=""), "Error: Missing data", IF(OR(R2="Non-Publishing Tasks", R2="Mockup", R2="Principal Publisher Requests", R2="Ideas / Optimization"), 0, (NETWORKDAYS(C2,D2,Holidays!A$2:A$13))-1))</calculatedColumnFormula>
    </tableColumn>
    <tableColumn id="20" xr3:uid="{C1C0C603-7A59-4841-8849-B7BAAC736154}" name="Staging to Live" dataDxfId="16">
      <calculatedColumnFormula>IF(OR(D2="", F2=""), "Error: Missing data", IF(OR(R2="Non-Publishing Tasks", R2="Mockup", R2="Principal Publisher Requests", R2="Ideas / Optimization"), 0, (NETWORKDAYS(D2,F2,Holidays!A$2:A$13))-1))</calculatedColumnFormula>
    </tableColumn>
    <tableColumn id="21" xr3:uid="{A94B7386-3C96-4D33-BC96-FDEF870EDADD}" name="Coding days" dataDxfId="0">
      <calculatedColumnFormula>IF(OR(B2=""),"Error: Dates Required",IF(OR(E2=""),"0",IF(OR(R2="Non-Publishing Tasks",R2="Mockup",R2="Principal Publisher Requests",R2="Ideas / Optimization",R2="Maintenance"),0,(NETWORKDAYS(B2,E2,Holidays!A$2:A$13))-1)))</calculatedColumnFormula>
    </tableColumn>
    <tableColumn id="22" xr3:uid="{ABEF7259-AFE1-4C87-B4B1-4B8D3CE8EB80}" name="Meet SLA" dataDxfId="15">
      <calculatedColumnFormula>IF(OR(NOT(ISNUMBER(T2)), NOT(ISNUMBER(J2))), "Error: Missing data", T2&lt;=J2)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FD37-7913-4B73-BDBA-433C1BDEEB32}">
  <sheetPr codeName="Sheet3">
    <pageSetUpPr fitToPage="1"/>
  </sheetPr>
  <dimension ref="B1:Z27"/>
  <sheetViews>
    <sheetView tabSelected="1" workbookViewId="0">
      <selection activeCell="U27" sqref="U27"/>
    </sheetView>
  </sheetViews>
  <sheetFormatPr defaultRowHeight="15"/>
  <cols>
    <col min="2" max="2" width="17.7109375" customWidth="1"/>
    <col min="3" max="3" width="5.28515625" bestFit="1" customWidth="1"/>
    <col min="4" max="4" width="4.85546875" bestFit="1" customWidth="1"/>
    <col min="5" max="5" width="7.42578125" bestFit="1" customWidth="1"/>
    <col min="6" max="6" width="6.7109375" customWidth="1"/>
    <col min="7" max="8" width="8.140625" bestFit="1" customWidth="1"/>
    <col min="9" max="9" width="9.140625" bestFit="1" customWidth="1"/>
    <col min="10" max="10" width="8.85546875" customWidth="1"/>
    <col min="11" max="11" width="5.28515625" bestFit="1" customWidth="1"/>
    <col min="12" max="12" width="4.85546875" bestFit="1" customWidth="1"/>
    <col min="13" max="13" width="6.42578125" bestFit="1" customWidth="1"/>
    <col min="14" max="14" width="5" bestFit="1" customWidth="1"/>
    <col min="15" max="15" width="5.28515625" bestFit="1" customWidth="1"/>
    <col min="16" max="16" width="4.85546875" bestFit="1" customWidth="1"/>
    <col min="17" max="17" width="6.42578125" bestFit="1" customWidth="1"/>
    <col min="18" max="18" width="6" bestFit="1" customWidth="1"/>
    <col min="19" max="19" width="5.28515625" bestFit="1" customWidth="1"/>
    <col min="20" max="20" width="4.85546875" bestFit="1" customWidth="1"/>
    <col min="21" max="21" width="6.42578125" bestFit="1" customWidth="1"/>
    <col min="22" max="22" width="5" bestFit="1" customWidth="1"/>
  </cols>
  <sheetData>
    <row r="1" spans="2:26" ht="15.75" thickBot="1"/>
    <row r="2" spans="2:26">
      <c r="B2" s="51" t="s">
        <v>39</v>
      </c>
      <c r="C2" s="49" t="s">
        <v>40</v>
      </c>
      <c r="D2" s="49"/>
      <c r="E2" s="49"/>
      <c r="F2" s="49"/>
      <c r="G2" s="49" t="s">
        <v>41</v>
      </c>
      <c r="H2" s="49"/>
      <c r="I2" s="49"/>
      <c r="J2" s="49"/>
      <c r="K2" s="49" t="s">
        <v>42</v>
      </c>
      <c r="L2" s="49"/>
      <c r="M2" s="49"/>
      <c r="N2" s="49"/>
      <c r="O2" s="49" t="s">
        <v>43</v>
      </c>
      <c r="P2" s="49"/>
      <c r="Q2" s="49"/>
      <c r="R2" s="49"/>
      <c r="S2" s="49" t="s">
        <v>44</v>
      </c>
      <c r="T2" s="49"/>
      <c r="U2" s="49"/>
      <c r="V2" s="50"/>
      <c r="W2" s="49" t="s">
        <v>45</v>
      </c>
      <c r="X2" s="49"/>
      <c r="Y2" s="49"/>
      <c r="Z2" s="50"/>
    </row>
    <row r="3" spans="2:26" ht="15.75" thickBot="1">
      <c r="B3" s="52"/>
      <c r="C3" s="19" t="s">
        <v>46</v>
      </c>
      <c r="D3" s="19" t="s">
        <v>47</v>
      </c>
      <c r="E3" s="19" t="s">
        <v>48</v>
      </c>
      <c r="F3" s="19" t="s">
        <v>49</v>
      </c>
      <c r="G3" s="19" t="s">
        <v>46</v>
      </c>
      <c r="H3" s="19" t="s">
        <v>47</v>
      </c>
      <c r="I3" s="19" t="s">
        <v>48</v>
      </c>
      <c r="J3" s="19" t="s">
        <v>49</v>
      </c>
      <c r="K3" s="19" t="s">
        <v>46</v>
      </c>
      <c r="L3" s="19" t="s">
        <v>47</v>
      </c>
      <c r="M3" s="19" t="s">
        <v>48</v>
      </c>
      <c r="N3" s="19" t="s">
        <v>49</v>
      </c>
      <c r="O3" s="19" t="s">
        <v>46</v>
      </c>
      <c r="P3" s="19" t="s">
        <v>47</v>
      </c>
      <c r="Q3" s="19" t="s">
        <v>48</v>
      </c>
      <c r="R3" s="19" t="s">
        <v>49</v>
      </c>
      <c r="S3" s="19" t="s">
        <v>46</v>
      </c>
      <c r="T3" s="19" t="s">
        <v>47</v>
      </c>
      <c r="U3" s="19" t="s">
        <v>48</v>
      </c>
      <c r="V3" s="20" t="s">
        <v>49</v>
      </c>
      <c r="W3" s="19" t="s">
        <v>50</v>
      </c>
      <c r="X3" s="19" t="s">
        <v>47</v>
      </c>
      <c r="Y3" s="19" t="s">
        <v>51</v>
      </c>
      <c r="Z3" s="20" t="s">
        <v>49</v>
      </c>
    </row>
    <row r="4" spans="2:26">
      <c r="B4" s="21" t="s">
        <v>52</v>
      </c>
      <c r="C4" s="22">
        <v>44</v>
      </c>
      <c r="D4" s="22">
        <v>9</v>
      </c>
      <c r="E4" s="22">
        <v>0</v>
      </c>
      <c r="F4" s="23"/>
      <c r="G4" s="24">
        <f>44/44</f>
        <v>1</v>
      </c>
      <c r="H4" s="24">
        <f>9/9</f>
        <v>1</v>
      </c>
      <c r="I4" s="58" t="s">
        <v>189</v>
      </c>
      <c r="J4" s="25"/>
      <c r="K4" s="22">
        <v>61</v>
      </c>
      <c r="L4" s="22">
        <v>1</v>
      </c>
      <c r="M4" s="22">
        <v>0</v>
      </c>
      <c r="N4" s="23"/>
      <c r="O4" s="22">
        <v>167</v>
      </c>
      <c r="P4" s="22">
        <v>55</v>
      </c>
      <c r="Q4" s="22">
        <v>0</v>
      </c>
      <c r="R4" s="23"/>
      <c r="S4" s="22">
        <v>10</v>
      </c>
      <c r="T4" s="22">
        <v>29</v>
      </c>
      <c r="U4" s="22">
        <v>0</v>
      </c>
      <c r="V4" s="26"/>
      <c r="W4" s="27">
        <v>2</v>
      </c>
      <c r="X4" s="22">
        <v>0</v>
      </c>
      <c r="Y4" s="22">
        <v>0</v>
      </c>
      <c r="Z4" s="26"/>
    </row>
    <row r="5" spans="2:26">
      <c r="B5" s="28" t="s">
        <v>53</v>
      </c>
      <c r="C5" s="29"/>
      <c r="D5" s="29"/>
      <c r="E5" s="29"/>
      <c r="F5" s="30"/>
      <c r="G5" s="31"/>
      <c r="H5" s="31"/>
      <c r="I5" s="31"/>
      <c r="J5" s="32"/>
      <c r="K5" s="29"/>
      <c r="L5" s="29"/>
      <c r="M5" s="29"/>
      <c r="N5" s="30"/>
      <c r="O5" s="29"/>
      <c r="P5" s="29"/>
      <c r="Q5" s="29"/>
      <c r="R5" s="30"/>
      <c r="S5" s="29"/>
      <c r="T5" s="29"/>
      <c r="U5" s="29"/>
      <c r="V5" s="33"/>
      <c r="W5" s="34"/>
      <c r="X5" s="35"/>
      <c r="Y5" s="35"/>
      <c r="Z5" s="36"/>
    </row>
    <row r="6" spans="2:26">
      <c r="B6" s="28" t="s">
        <v>54</v>
      </c>
      <c r="C6" s="29"/>
      <c r="D6" s="29"/>
      <c r="E6" s="29"/>
      <c r="F6" s="30"/>
      <c r="G6" s="31"/>
      <c r="H6" s="31"/>
      <c r="I6" s="31"/>
      <c r="J6" s="32"/>
      <c r="K6" s="29"/>
      <c r="L6" s="29"/>
      <c r="M6" s="29"/>
      <c r="N6" s="30"/>
      <c r="O6" s="29"/>
      <c r="P6" s="29"/>
      <c r="Q6" s="29"/>
      <c r="R6" s="30"/>
      <c r="S6" s="29"/>
      <c r="T6" s="29"/>
      <c r="U6" s="29"/>
      <c r="V6" s="33"/>
      <c r="W6" s="35"/>
      <c r="X6" s="35"/>
      <c r="Y6" s="35"/>
      <c r="Z6" s="36"/>
    </row>
    <row r="7" spans="2:26" ht="15.75" thickBot="1">
      <c r="B7" s="37" t="s">
        <v>55</v>
      </c>
      <c r="C7" s="38">
        <f>SUM(C4:C6)</f>
        <v>44</v>
      </c>
      <c r="D7" s="38">
        <f t="shared" ref="D7:E7" si="0">SUM(D4:D6)</f>
        <v>9</v>
      </c>
      <c r="E7" s="38">
        <f t="shared" si="0"/>
        <v>0</v>
      </c>
      <c r="F7" s="38">
        <f>SUM(C7:E7)</f>
        <v>53</v>
      </c>
      <c r="G7" s="39">
        <f>AVERAGE(G4:G6)</f>
        <v>1</v>
      </c>
      <c r="H7" s="39">
        <f t="shared" ref="H7:I7" si="1">AVERAGE(H4:H6)</f>
        <v>1</v>
      </c>
      <c r="I7" s="39" t="e">
        <f t="shared" si="1"/>
        <v>#DIV/0!</v>
      </c>
      <c r="J7" s="39" t="e">
        <f t="shared" ref="J7" si="2">AVERAGE(G7:I7)</f>
        <v>#DIV/0!</v>
      </c>
      <c r="K7" s="38">
        <f>SUM(K4:K6)</f>
        <v>61</v>
      </c>
      <c r="L7" s="38">
        <f t="shared" ref="L7:M7" si="3">SUM(L4:L6)</f>
        <v>1</v>
      </c>
      <c r="M7" s="38">
        <f t="shared" si="3"/>
        <v>0</v>
      </c>
      <c r="N7" s="38">
        <f t="shared" ref="N7:N19" si="4">SUM(K7:M7)</f>
        <v>62</v>
      </c>
      <c r="O7" s="38">
        <f>SUM(O4:O6)</f>
        <v>167</v>
      </c>
      <c r="P7" s="38">
        <f t="shared" ref="P7:Q7" si="5">SUM(P4:P6)</f>
        <v>55</v>
      </c>
      <c r="Q7" s="38">
        <f t="shared" si="5"/>
        <v>0</v>
      </c>
      <c r="R7" s="38">
        <f t="shared" ref="R7:R15" si="6">SUM(O7:Q7)</f>
        <v>222</v>
      </c>
      <c r="S7" s="38">
        <f>SUM(S4:S6)</f>
        <v>10</v>
      </c>
      <c r="T7" s="38">
        <f t="shared" ref="T7:U7" si="7">SUM(T4:T6)</f>
        <v>29</v>
      </c>
      <c r="U7" s="38">
        <f t="shared" si="7"/>
        <v>0</v>
      </c>
      <c r="V7" s="40">
        <f t="shared" ref="V7:V15" si="8">SUM(S7:U7)</f>
        <v>39</v>
      </c>
      <c r="W7" s="38">
        <f>SUM(W4:W6)</f>
        <v>2</v>
      </c>
      <c r="X7" s="38">
        <f t="shared" ref="X7:Y7" si="9">SUM(X4:X6)</f>
        <v>0</v>
      </c>
      <c r="Y7" s="38">
        <f t="shared" si="9"/>
        <v>0</v>
      </c>
      <c r="Z7" s="40">
        <f>SUM(W7:Y7)</f>
        <v>2</v>
      </c>
    </row>
    <row r="8" spans="2:26">
      <c r="B8" s="21" t="s">
        <v>56</v>
      </c>
      <c r="C8" s="22"/>
      <c r="D8" s="22"/>
      <c r="E8" s="22"/>
      <c r="F8" s="23"/>
      <c r="G8" s="24"/>
      <c r="H8" s="24"/>
      <c r="I8" s="24"/>
      <c r="J8" s="25"/>
      <c r="K8" s="22"/>
      <c r="L8" s="22"/>
      <c r="M8" s="22"/>
      <c r="N8" s="23"/>
      <c r="O8" s="22"/>
      <c r="P8" s="22"/>
      <c r="Q8" s="22"/>
      <c r="R8" s="23"/>
      <c r="S8" s="22"/>
      <c r="T8" s="22"/>
      <c r="U8" s="22"/>
      <c r="V8" s="26"/>
      <c r="W8" s="27"/>
      <c r="X8" s="22"/>
      <c r="Y8" s="22"/>
      <c r="Z8" s="26"/>
    </row>
    <row r="9" spans="2:26">
      <c r="B9" s="28" t="s">
        <v>57</v>
      </c>
      <c r="C9" s="29"/>
      <c r="D9" s="29"/>
      <c r="E9" s="29"/>
      <c r="F9" s="30"/>
      <c r="G9" s="31"/>
      <c r="H9" s="31"/>
      <c r="I9" s="31"/>
      <c r="J9" s="32"/>
      <c r="K9" s="29"/>
      <c r="L9" s="29"/>
      <c r="M9" s="29"/>
      <c r="N9" s="30"/>
      <c r="O9" s="29"/>
      <c r="P9" s="29"/>
      <c r="Q9" s="29"/>
      <c r="R9" s="30"/>
      <c r="S9" s="29"/>
      <c r="T9" s="29"/>
      <c r="U9" s="29"/>
      <c r="V9" s="33"/>
      <c r="W9" s="34"/>
      <c r="X9" s="35"/>
      <c r="Y9" s="35"/>
      <c r="Z9" s="36"/>
    </row>
    <row r="10" spans="2:26">
      <c r="B10" s="28" t="s">
        <v>58</v>
      </c>
      <c r="C10" s="29"/>
      <c r="D10" s="29"/>
      <c r="E10" s="29"/>
      <c r="F10" s="30"/>
      <c r="G10" s="31"/>
      <c r="H10" s="31"/>
      <c r="I10" s="31"/>
      <c r="J10" s="32"/>
      <c r="K10" s="29"/>
      <c r="L10" s="29"/>
      <c r="M10" s="29"/>
      <c r="N10" s="30"/>
      <c r="O10" s="29"/>
      <c r="P10" s="29"/>
      <c r="Q10" s="29"/>
      <c r="R10" s="30"/>
      <c r="S10" s="29"/>
      <c r="T10" s="29"/>
      <c r="U10" s="29"/>
      <c r="V10" s="33"/>
      <c r="W10" s="35"/>
      <c r="X10" s="35"/>
      <c r="Y10" s="35"/>
      <c r="Z10" s="36"/>
    </row>
    <row r="11" spans="2:26" ht="15.75" thickBot="1">
      <c r="B11" s="37" t="s">
        <v>59</v>
      </c>
      <c r="C11" s="38">
        <f>SUM(C8:C10)</f>
        <v>0</v>
      </c>
      <c r="D11" s="38">
        <f t="shared" ref="D11:E11" si="10">SUM(D8:D10)</f>
        <v>0</v>
      </c>
      <c r="E11" s="38">
        <f t="shared" si="10"/>
        <v>0</v>
      </c>
      <c r="F11" s="38">
        <f t="shared" ref="F11" si="11">SUM(C11:E11)</f>
        <v>0</v>
      </c>
      <c r="G11" s="39" t="e">
        <f>AVERAGE(G8:G10)</f>
        <v>#DIV/0!</v>
      </c>
      <c r="H11" s="39" t="e">
        <f t="shared" ref="H11:I11" si="12">AVERAGE(H8:H10)</f>
        <v>#DIV/0!</v>
      </c>
      <c r="I11" s="39" t="e">
        <f t="shared" si="12"/>
        <v>#DIV/0!</v>
      </c>
      <c r="J11" s="39" t="e">
        <f t="shared" ref="J11" si="13">AVERAGE(G11:I11)</f>
        <v>#DIV/0!</v>
      </c>
      <c r="K11" s="38">
        <f>SUM(K8:K10)</f>
        <v>0</v>
      </c>
      <c r="L11" s="38">
        <f t="shared" ref="L11:M11" si="14">SUM(L8:L10)</f>
        <v>0</v>
      </c>
      <c r="M11" s="38">
        <f t="shared" si="14"/>
        <v>0</v>
      </c>
      <c r="N11" s="38">
        <f>SUM(K11:M11)</f>
        <v>0</v>
      </c>
      <c r="O11" s="38">
        <f>SUM(O8:O10)</f>
        <v>0</v>
      </c>
      <c r="P11" s="38">
        <f t="shared" ref="P11:Q11" si="15">SUM(P8:P10)</f>
        <v>0</v>
      </c>
      <c r="Q11" s="38">
        <f t="shared" si="15"/>
        <v>0</v>
      </c>
      <c r="R11" s="38">
        <f t="shared" ref="R11" si="16">SUM(O11:Q11)</f>
        <v>0</v>
      </c>
      <c r="S11" s="38">
        <f>SUM(S8:S10)</f>
        <v>0</v>
      </c>
      <c r="T11" s="38">
        <f t="shared" ref="T11:U11" si="17">SUM(T8:T10)</f>
        <v>0</v>
      </c>
      <c r="U11" s="38">
        <f t="shared" si="17"/>
        <v>0</v>
      </c>
      <c r="V11" s="40">
        <f t="shared" ref="V11" si="18">SUM(S11:U11)</f>
        <v>0</v>
      </c>
      <c r="W11" s="38">
        <f>SUM(W8:W10)</f>
        <v>0</v>
      </c>
      <c r="X11" s="38">
        <f t="shared" ref="X11:Y11" si="19">SUM(X8:X10)</f>
        <v>0</v>
      </c>
      <c r="Y11" s="38">
        <f t="shared" si="19"/>
        <v>0</v>
      </c>
      <c r="Z11" s="40">
        <f>SUM(W11:Y11)</f>
        <v>0</v>
      </c>
    </row>
    <row r="12" spans="2:26">
      <c r="B12" s="41" t="s">
        <v>60</v>
      </c>
      <c r="C12" s="22"/>
      <c r="D12" s="22"/>
      <c r="E12" s="22"/>
      <c r="F12" s="23"/>
      <c r="G12" s="24"/>
      <c r="H12" s="24"/>
      <c r="I12" s="42"/>
      <c r="J12" s="25"/>
      <c r="K12" s="22"/>
      <c r="L12" s="22"/>
      <c r="M12" s="22"/>
      <c r="N12" s="23"/>
      <c r="O12" s="22"/>
      <c r="P12" s="22"/>
      <c r="Q12" s="22"/>
      <c r="R12" s="23"/>
      <c r="S12" s="22"/>
      <c r="T12" s="22"/>
      <c r="U12" s="22"/>
      <c r="V12" s="26"/>
      <c r="W12" s="27"/>
      <c r="X12" s="22"/>
      <c r="Y12" s="22"/>
      <c r="Z12" s="26"/>
    </row>
    <row r="13" spans="2:26">
      <c r="B13" s="28" t="s">
        <v>61</v>
      </c>
      <c r="C13" s="29"/>
      <c r="D13" s="29"/>
      <c r="E13" s="29"/>
      <c r="F13" s="30"/>
      <c r="G13" s="31"/>
      <c r="H13" s="31"/>
      <c r="I13" s="31"/>
      <c r="J13" s="32"/>
      <c r="K13" s="29"/>
      <c r="L13" s="29"/>
      <c r="M13" s="29"/>
      <c r="N13" s="30"/>
      <c r="O13" s="29"/>
      <c r="P13" s="29"/>
      <c r="Q13" s="29"/>
      <c r="R13" s="30"/>
      <c r="S13" s="29"/>
      <c r="T13" s="29"/>
      <c r="U13" s="29"/>
      <c r="V13" s="33"/>
      <c r="W13" s="34"/>
      <c r="X13" s="35"/>
      <c r="Y13" s="35"/>
      <c r="Z13" s="36"/>
    </row>
    <row r="14" spans="2:26">
      <c r="B14" s="28" t="s">
        <v>62</v>
      </c>
      <c r="C14" s="29"/>
      <c r="D14" s="29"/>
      <c r="E14" s="29"/>
      <c r="F14" s="30"/>
      <c r="G14" s="31"/>
      <c r="H14" s="31"/>
      <c r="I14" s="43"/>
      <c r="J14" s="32"/>
      <c r="K14" s="29"/>
      <c r="L14" s="29"/>
      <c r="M14" s="29"/>
      <c r="N14" s="30"/>
      <c r="O14" s="29"/>
      <c r="P14" s="29"/>
      <c r="Q14" s="29"/>
      <c r="R14" s="30"/>
      <c r="S14" s="29"/>
      <c r="T14" s="29"/>
      <c r="U14" s="29"/>
      <c r="V14" s="33"/>
      <c r="W14" s="35"/>
      <c r="X14" s="35"/>
      <c r="Y14" s="35"/>
      <c r="Z14" s="36"/>
    </row>
    <row r="15" spans="2:26" ht="15.75" thickBot="1">
      <c r="B15" s="37" t="s">
        <v>63</v>
      </c>
      <c r="C15" s="38">
        <f>SUM(C12:C14)</f>
        <v>0</v>
      </c>
      <c r="D15" s="38">
        <f t="shared" ref="D15:E15" si="20">SUM(D12:D14)</f>
        <v>0</v>
      </c>
      <c r="E15" s="38">
        <f t="shared" si="20"/>
        <v>0</v>
      </c>
      <c r="F15" s="38">
        <f t="shared" ref="F15" si="21">SUM(C15:E15)</f>
        <v>0</v>
      </c>
      <c r="G15" s="39" t="e">
        <f>AVERAGE(G12:G14)</f>
        <v>#DIV/0!</v>
      </c>
      <c r="H15" s="39" t="e">
        <f t="shared" ref="H15:I15" si="22">AVERAGE(H12:H14)</f>
        <v>#DIV/0!</v>
      </c>
      <c r="I15" s="39" t="e">
        <f t="shared" si="22"/>
        <v>#DIV/0!</v>
      </c>
      <c r="J15" s="39" t="e">
        <f>AVERAGE(G15:I15)</f>
        <v>#DIV/0!</v>
      </c>
      <c r="K15" s="38">
        <f>SUM(K12:K14)</f>
        <v>0</v>
      </c>
      <c r="L15" s="38">
        <f t="shared" ref="L15:M15" si="23">SUM(L12:L14)</f>
        <v>0</v>
      </c>
      <c r="M15" s="38">
        <f t="shared" si="23"/>
        <v>0</v>
      </c>
      <c r="N15" s="38">
        <f t="shared" ref="N15" si="24">SUM(K15:M15)</f>
        <v>0</v>
      </c>
      <c r="O15" s="38">
        <f>SUM(O12:O14)</f>
        <v>0</v>
      </c>
      <c r="P15" s="38">
        <f t="shared" ref="P15:Q15" si="25">SUM(P12:P14)</f>
        <v>0</v>
      </c>
      <c r="Q15" s="38">
        <f t="shared" si="25"/>
        <v>0</v>
      </c>
      <c r="R15" s="38">
        <f t="shared" si="6"/>
        <v>0</v>
      </c>
      <c r="S15" s="38">
        <f>SUM(S12:S14)</f>
        <v>0</v>
      </c>
      <c r="T15" s="38">
        <f t="shared" ref="T15:U15" si="26">SUM(T12:T14)</f>
        <v>0</v>
      </c>
      <c r="U15" s="38">
        <f t="shared" si="26"/>
        <v>0</v>
      </c>
      <c r="V15" s="40">
        <f t="shared" si="8"/>
        <v>0</v>
      </c>
      <c r="W15" s="38">
        <f>SUM(W12:W14)</f>
        <v>0</v>
      </c>
      <c r="X15" s="38">
        <f t="shared" ref="X15:Y15" si="27">SUM(X12:X14)</f>
        <v>0</v>
      </c>
      <c r="Y15" s="38">
        <f t="shared" si="27"/>
        <v>0</v>
      </c>
      <c r="Z15" s="40">
        <f>SUM(W15:Y15)</f>
        <v>0</v>
      </c>
    </row>
    <row r="16" spans="2:26">
      <c r="B16" s="21" t="s">
        <v>64</v>
      </c>
      <c r="C16" s="35"/>
      <c r="D16" s="35"/>
      <c r="E16" s="35"/>
      <c r="F16" s="44"/>
      <c r="G16" s="45"/>
      <c r="H16" s="45"/>
      <c r="I16" s="43"/>
      <c r="J16" s="46"/>
      <c r="K16" s="35"/>
      <c r="L16" s="35"/>
      <c r="M16" s="35"/>
      <c r="N16" s="44"/>
      <c r="O16" s="35"/>
      <c r="P16" s="35"/>
      <c r="Q16" s="35"/>
      <c r="R16" s="44"/>
      <c r="S16" s="35"/>
      <c r="T16" s="35"/>
      <c r="U16" s="35"/>
      <c r="V16" s="36"/>
      <c r="W16" s="27"/>
      <c r="X16" s="22"/>
      <c r="Y16" s="22"/>
      <c r="Z16" s="26"/>
    </row>
    <row r="17" spans="2:26">
      <c r="B17" s="28" t="s">
        <v>65</v>
      </c>
      <c r="C17" s="29"/>
      <c r="D17" s="29"/>
      <c r="E17" s="29"/>
      <c r="F17" s="30"/>
      <c r="G17" s="31"/>
      <c r="H17" s="31"/>
      <c r="I17" s="31"/>
      <c r="J17" s="32"/>
      <c r="K17" s="29"/>
      <c r="L17" s="29"/>
      <c r="M17" s="29"/>
      <c r="N17" s="30"/>
      <c r="O17" s="29"/>
      <c r="P17" s="29"/>
      <c r="Q17" s="29"/>
      <c r="R17" s="30"/>
      <c r="S17" s="29"/>
      <c r="T17" s="29"/>
      <c r="U17" s="29"/>
      <c r="V17" s="33"/>
      <c r="W17" s="47"/>
      <c r="X17" s="29"/>
      <c r="Y17" s="29"/>
      <c r="Z17" s="33"/>
    </row>
    <row r="18" spans="2:26">
      <c r="B18" s="28" t="s">
        <v>66</v>
      </c>
      <c r="C18" s="29"/>
      <c r="D18" s="29"/>
      <c r="E18" s="29"/>
      <c r="F18" s="30"/>
      <c r="G18" s="31"/>
      <c r="H18" s="31"/>
      <c r="I18" s="31"/>
      <c r="J18" s="32"/>
      <c r="K18" s="29"/>
      <c r="L18" s="29"/>
      <c r="M18" s="29"/>
      <c r="N18" s="30"/>
      <c r="O18" s="29"/>
      <c r="P18" s="29"/>
      <c r="Q18" s="29"/>
      <c r="R18" s="30"/>
      <c r="S18" s="29"/>
      <c r="T18" s="29"/>
      <c r="U18" s="29"/>
      <c r="V18" s="33"/>
      <c r="W18" s="34"/>
      <c r="X18" s="35"/>
      <c r="Y18" s="35"/>
      <c r="Z18" s="36"/>
    </row>
    <row r="19" spans="2:26" ht="15.75" thickBot="1">
      <c r="B19" s="37" t="s">
        <v>67</v>
      </c>
      <c r="C19" s="38">
        <f>SUM(C16:C18)</f>
        <v>0</v>
      </c>
      <c r="D19" s="38">
        <f t="shared" ref="D19:E19" si="28">SUM(D16:D18)</f>
        <v>0</v>
      </c>
      <c r="E19" s="38">
        <f t="shared" si="28"/>
        <v>0</v>
      </c>
      <c r="F19" s="38">
        <f>SUM(C19:E19)</f>
        <v>0</v>
      </c>
      <c r="G19" s="39" t="e">
        <f>AVERAGE(G16:G18)</f>
        <v>#DIV/0!</v>
      </c>
      <c r="H19" s="39" t="e">
        <f t="shared" ref="H19:I19" si="29">AVERAGE(H16:H18)</f>
        <v>#DIV/0!</v>
      </c>
      <c r="I19" s="39" t="e">
        <f t="shared" si="29"/>
        <v>#DIV/0!</v>
      </c>
      <c r="J19" s="39" t="e">
        <f>AVERAGE(G19:I19)</f>
        <v>#DIV/0!</v>
      </c>
      <c r="K19" s="38">
        <f>SUM(K16:K18)</f>
        <v>0</v>
      </c>
      <c r="L19" s="38">
        <f t="shared" ref="L19:M19" si="30">SUM(L16:L18)</f>
        <v>0</v>
      </c>
      <c r="M19" s="38">
        <f t="shared" si="30"/>
        <v>0</v>
      </c>
      <c r="N19" s="38">
        <f t="shared" si="4"/>
        <v>0</v>
      </c>
      <c r="O19" s="38">
        <f>SUM(O16:O18)</f>
        <v>0</v>
      </c>
      <c r="P19" s="38">
        <f t="shared" ref="P19:Q19" si="31">SUM(P16:P18)</f>
        <v>0</v>
      </c>
      <c r="Q19" s="38">
        <f t="shared" si="31"/>
        <v>0</v>
      </c>
      <c r="R19" s="38">
        <f t="shared" ref="R19" si="32">SUM(O19:Q19)</f>
        <v>0</v>
      </c>
      <c r="S19" s="38">
        <f>SUM(S16:S18)</f>
        <v>0</v>
      </c>
      <c r="T19" s="38">
        <f t="shared" ref="T19:U19" si="33">SUM(T16:T18)</f>
        <v>0</v>
      </c>
      <c r="U19" s="38">
        <f t="shared" si="33"/>
        <v>0</v>
      </c>
      <c r="V19" s="40">
        <f t="shared" ref="V19" si="34">SUM(S19:U19)</f>
        <v>0</v>
      </c>
      <c r="W19" s="38">
        <f>SUM(W16:W18)</f>
        <v>0</v>
      </c>
      <c r="X19" s="38">
        <f t="shared" ref="X19:Y19" si="35">SUM(X16:X18)</f>
        <v>0</v>
      </c>
      <c r="Y19" s="38">
        <f t="shared" si="35"/>
        <v>0</v>
      </c>
      <c r="Z19" s="38">
        <f>SUM(W19:Y19)</f>
        <v>0</v>
      </c>
    </row>
    <row r="21" spans="2:26">
      <c r="H21" s="16"/>
      <c r="I21" s="16"/>
      <c r="J21" s="48"/>
    </row>
    <row r="22" spans="2:26">
      <c r="B22" s="17"/>
      <c r="C22" s="17"/>
    </row>
    <row r="23" spans="2:26">
      <c r="B23" s="17"/>
      <c r="C23" s="17"/>
    </row>
    <row r="25" spans="2:26">
      <c r="B25" t="s">
        <v>68</v>
      </c>
    </row>
    <row r="26" spans="2:26">
      <c r="B26" t="s">
        <v>69</v>
      </c>
    </row>
    <row r="27" spans="2:26">
      <c r="B27" t="s">
        <v>70</v>
      </c>
    </row>
  </sheetData>
  <mergeCells count="7">
    <mergeCell ref="W2:Z2"/>
    <mergeCell ref="B2:B3"/>
    <mergeCell ref="C2:F2"/>
    <mergeCell ref="G2:J2"/>
    <mergeCell ref="K2:N2"/>
    <mergeCell ref="O2:R2"/>
    <mergeCell ref="S2:V2"/>
  </mergeCells>
  <pageMargins left="0.7" right="0.7" top="0.75" bottom="0.75" header="0.3" footer="0.3"/>
  <pageSetup scale="8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07E4B-6BC0-49E0-872B-68CC20F13A7C}">
  <sheetPr codeName="Sheet1"/>
  <dimension ref="B1:I23"/>
  <sheetViews>
    <sheetView workbookViewId="0">
      <selection activeCell="C2" sqref="C2"/>
    </sheetView>
  </sheetViews>
  <sheetFormatPr defaultRowHeight="15"/>
  <cols>
    <col min="2" max="2" width="21.140625" bestFit="1" customWidth="1"/>
    <col min="3" max="3" width="12.5703125" bestFit="1" customWidth="1"/>
    <col min="4" max="4" width="11.28515625" bestFit="1" customWidth="1"/>
    <col min="5" max="6" width="10.140625" bestFit="1" customWidth="1"/>
    <col min="7" max="7" width="18.85546875" bestFit="1" customWidth="1"/>
    <col min="8" max="8" width="9.28515625" bestFit="1" customWidth="1"/>
    <col min="9" max="9" width="15.7109375" bestFit="1" customWidth="1"/>
    <col min="10" max="10" width="18.85546875" bestFit="1" customWidth="1"/>
    <col min="11" max="11" width="9.28515625" bestFit="1" customWidth="1"/>
    <col min="12" max="12" width="20.140625" bestFit="1" customWidth="1"/>
    <col min="13" max="13" width="23.28515625" bestFit="1" customWidth="1"/>
    <col min="14" max="14" width="13.7109375" bestFit="1" customWidth="1"/>
  </cols>
  <sheetData>
    <row r="1" spans="2:9">
      <c r="B1" s="7" t="s">
        <v>14</v>
      </c>
      <c r="C1" t="s">
        <v>182</v>
      </c>
    </row>
    <row r="2" spans="2:9">
      <c r="B2" s="7" t="s">
        <v>7</v>
      </c>
      <c r="C2" t="s">
        <v>182</v>
      </c>
    </row>
    <row r="3" spans="2:9">
      <c r="H3" s="17"/>
      <c r="I3" s="16"/>
    </row>
    <row r="4" spans="2:9">
      <c r="B4" s="7" t="s">
        <v>38</v>
      </c>
      <c r="C4" s="7" t="s">
        <v>184</v>
      </c>
      <c r="G4" s="16"/>
      <c r="I4" s="16"/>
    </row>
    <row r="5" spans="2:9">
      <c r="B5" s="7" t="s">
        <v>35</v>
      </c>
      <c r="C5" t="s">
        <v>181</v>
      </c>
      <c r="D5" t="s">
        <v>36</v>
      </c>
      <c r="I5" s="16"/>
    </row>
    <row r="6" spans="2:9">
      <c r="B6" s="18" t="s">
        <v>183</v>
      </c>
      <c r="C6" s="8">
        <v>54</v>
      </c>
      <c r="D6" s="8">
        <v>54</v>
      </c>
    </row>
    <row r="7" spans="2:9">
      <c r="B7" s="55" t="s">
        <v>91</v>
      </c>
      <c r="C7" s="8">
        <v>1</v>
      </c>
      <c r="D7" s="8">
        <v>1</v>
      </c>
      <c r="G7" s="16"/>
    </row>
    <row r="8" spans="2:9">
      <c r="B8" s="55" t="s">
        <v>100</v>
      </c>
      <c r="C8" s="8">
        <v>9</v>
      </c>
      <c r="D8" s="8">
        <v>9</v>
      </c>
    </row>
    <row r="9" spans="2:9">
      <c r="B9" s="55" t="s">
        <v>79</v>
      </c>
      <c r="C9" s="8">
        <v>8</v>
      </c>
      <c r="D9" s="8">
        <v>8</v>
      </c>
    </row>
    <row r="10" spans="2:9">
      <c r="B10" s="55" t="s">
        <v>82</v>
      </c>
      <c r="C10" s="8">
        <v>5</v>
      </c>
      <c r="D10" s="8">
        <v>5</v>
      </c>
      <c r="I10" s="16"/>
    </row>
    <row r="11" spans="2:9">
      <c r="B11" s="55" t="s">
        <v>73</v>
      </c>
      <c r="C11" s="8">
        <v>29</v>
      </c>
      <c r="D11" s="8">
        <v>29</v>
      </c>
    </row>
    <row r="12" spans="2:9">
      <c r="B12" s="55" t="s">
        <v>138</v>
      </c>
      <c r="C12" s="8">
        <v>2</v>
      </c>
      <c r="D12" s="8">
        <v>2</v>
      </c>
    </row>
    <row r="13" spans="2:9">
      <c r="B13" s="18" t="s">
        <v>36</v>
      </c>
      <c r="C13" s="8">
        <v>54</v>
      </c>
      <c r="D13" s="8">
        <v>54</v>
      </c>
    </row>
    <row r="23" spans="7:7">
      <c r="G23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8D26A-36E4-472D-80F5-17DB8B28F9B9}">
  <dimension ref="B1:F7"/>
  <sheetViews>
    <sheetView workbookViewId="0">
      <selection activeCell="C10" sqref="C10"/>
    </sheetView>
  </sheetViews>
  <sheetFormatPr defaultRowHeight="15"/>
  <cols>
    <col min="2" max="2" width="17.42578125" bestFit="1" customWidth="1"/>
    <col min="3" max="3" width="17.5703125" bestFit="1" customWidth="1"/>
    <col min="4" max="4" width="21.140625" bestFit="1" customWidth="1"/>
    <col min="5" max="5" width="20.5703125" bestFit="1" customWidth="1"/>
    <col min="6" max="6" width="9.7109375" bestFit="1" customWidth="1"/>
  </cols>
  <sheetData>
    <row r="1" spans="2:6">
      <c r="B1" s="7" t="s">
        <v>14</v>
      </c>
      <c r="C1" t="s">
        <v>109</v>
      </c>
    </row>
    <row r="3" spans="2:6">
      <c r="B3" s="7" t="s">
        <v>35</v>
      </c>
      <c r="C3" t="s">
        <v>185</v>
      </c>
      <c r="D3" t="s">
        <v>186</v>
      </c>
      <c r="E3" t="s">
        <v>187</v>
      </c>
      <c r="F3" t="s">
        <v>188</v>
      </c>
    </row>
    <row r="4" spans="2:6">
      <c r="B4" s="18" t="s">
        <v>100</v>
      </c>
      <c r="C4" s="8"/>
      <c r="D4" s="8"/>
      <c r="E4" s="8"/>
      <c r="F4" s="8">
        <v>1</v>
      </c>
    </row>
    <row r="5" spans="2:6">
      <c r="B5" s="18" t="s">
        <v>73</v>
      </c>
      <c r="C5" s="8">
        <v>1</v>
      </c>
      <c r="D5" s="8">
        <v>53</v>
      </c>
      <c r="E5" s="8">
        <v>29</v>
      </c>
      <c r="F5" s="8">
        <v>7</v>
      </c>
    </row>
    <row r="6" spans="2:6">
      <c r="B6" s="18" t="s">
        <v>138</v>
      </c>
      <c r="C6" s="8">
        <v>0</v>
      </c>
      <c r="D6" s="8">
        <v>2</v>
      </c>
      <c r="E6" s="8">
        <v>0</v>
      </c>
      <c r="F6" s="8">
        <v>1</v>
      </c>
    </row>
    <row r="7" spans="2:6">
      <c r="B7" s="18" t="s">
        <v>36</v>
      </c>
      <c r="C7" s="8">
        <v>1</v>
      </c>
      <c r="D7" s="8">
        <v>55</v>
      </c>
      <c r="E7" s="8">
        <v>29</v>
      </c>
      <c r="F7" s="8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61B5-5480-41E7-A62C-0BDBFEA7931E}">
  <sheetPr codeName="Sheet2"/>
  <dimension ref="A1:W55"/>
  <sheetViews>
    <sheetView topLeftCell="J19" workbookViewId="0">
      <selection activeCell="A56" sqref="A56"/>
    </sheetView>
  </sheetViews>
  <sheetFormatPr defaultRowHeight="15"/>
  <cols>
    <col min="1" max="1" width="68.42578125" customWidth="1"/>
    <col min="2" max="2" width="12.7109375" style="15" bestFit="1" customWidth="1"/>
    <col min="3" max="3" width="12" style="15" bestFit="1" customWidth="1"/>
    <col min="4" max="4" width="14.140625" style="15" bestFit="1" customWidth="1"/>
    <col min="5" max="5" width="11.42578125" style="15" bestFit="1" customWidth="1"/>
    <col min="6" max="6" width="15.7109375" style="15" bestFit="1" customWidth="1"/>
    <col min="7" max="7" width="31.5703125" customWidth="1"/>
    <col min="8" max="8" width="17.85546875" bestFit="1" customWidth="1"/>
    <col min="9" max="9" width="19.85546875" bestFit="1" customWidth="1"/>
    <col min="10" max="10" width="20" bestFit="1" customWidth="1"/>
    <col min="11" max="11" width="20" customWidth="1"/>
    <col min="12" max="12" width="46" bestFit="1" customWidth="1"/>
    <col min="13" max="13" width="13" bestFit="1" customWidth="1"/>
    <col min="14" max="14" width="16.7109375" bestFit="1" customWidth="1"/>
    <col min="15" max="15" width="16.140625" bestFit="1" customWidth="1"/>
    <col min="16" max="16" width="17.7109375" bestFit="1" customWidth="1"/>
    <col min="17" max="17" width="25.5703125" bestFit="1" customWidth="1"/>
    <col min="18" max="18" width="11.85546875" bestFit="1" customWidth="1"/>
    <col min="19" max="19" width="9.28515625" bestFit="1" customWidth="1"/>
    <col min="20" max="20" width="23.42578125" bestFit="1" customWidth="1"/>
    <col min="21" max="21" width="18.42578125" bestFit="1" customWidth="1"/>
    <col min="22" max="22" width="20.140625" bestFit="1" customWidth="1"/>
    <col min="23" max="23" width="16.85546875" bestFit="1" customWidth="1"/>
  </cols>
  <sheetData>
    <row r="1" spans="1:23" ht="15.75" thickBot="1">
      <c r="A1" s="9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71</v>
      </c>
      <c r="L1" s="10" t="s">
        <v>10</v>
      </c>
      <c r="M1" s="10" t="s">
        <v>11</v>
      </c>
      <c r="N1" s="10" t="s">
        <v>12</v>
      </c>
      <c r="O1" s="10" t="s">
        <v>15</v>
      </c>
      <c r="P1" s="10" t="s">
        <v>16</v>
      </c>
      <c r="Q1" s="10" t="s">
        <v>17</v>
      </c>
      <c r="R1" s="10" t="s">
        <v>13</v>
      </c>
      <c r="S1" s="10" t="s">
        <v>14</v>
      </c>
      <c r="T1" s="12" t="s">
        <v>37</v>
      </c>
      <c r="U1" s="12" t="s">
        <v>18</v>
      </c>
      <c r="V1" s="12" t="s">
        <v>19</v>
      </c>
      <c r="W1" s="14" t="s">
        <v>20</v>
      </c>
    </row>
    <row r="2" spans="1:23" ht="16.5" thickTop="1" thickBot="1">
      <c r="A2" t="s">
        <v>90</v>
      </c>
      <c r="B2" s="1">
        <v>45748</v>
      </c>
      <c r="C2" s="1">
        <v>45749</v>
      </c>
      <c r="D2" s="1">
        <v>45749</v>
      </c>
      <c r="E2" s="1">
        <v>45749</v>
      </c>
      <c r="F2" s="1">
        <v>45750</v>
      </c>
      <c r="G2" t="s">
        <v>91</v>
      </c>
      <c r="I2" t="s">
        <v>74</v>
      </c>
      <c r="J2">
        <v>3</v>
      </c>
      <c r="L2" t="s">
        <v>92</v>
      </c>
      <c r="N2">
        <v>2</v>
      </c>
      <c r="P2">
        <v>2</v>
      </c>
      <c r="R2" t="s">
        <v>89</v>
      </c>
      <c r="S2" t="s">
        <v>77</v>
      </c>
      <c r="T2" s="53">
        <f>IF(OR(C2="", D2=""), "Error: Missing data", IF(OR(R2="Non-Publishing Tasks", R2="Mockup", R2="Principal Publisher Requests", R2="Ideas / Optimization"), 0, (NETWORKDAYS(C2,D2,Holidays!A$2:A$13))-1))</f>
        <v>0</v>
      </c>
      <c r="U2" s="53">
        <f>IF(OR(D2="", F2=""), "Error: Missing data", IF(OR(R2="Non-Publishing Tasks", R2="Mockup", R2="Principal Publisher Requests", R2="Ideas / Optimization"), 0, (NETWORKDAYS(D2,F2,Holidays!A$2:A$13))-1))</f>
        <v>1</v>
      </c>
      <c r="V2" s="53">
        <f>IF(OR(B2=""),"Error: Dates Required",IF(OR(E2=""),"0",IF(OR(R2="Non-Publishing Tasks",R2="Mockup",R2="Principal Publisher Requests",R2="Ideas / Optimization",R2="Maintenance"),0,(NETWORKDAYS(B2,E2,Holidays!A$2:A$13))-1)))</f>
        <v>1</v>
      </c>
      <c r="W2" s="56" t="b">
        <f>IF(OR(NOT(ISNUMBER(T2)), NOT(ISNUMBER(J2))), "Error: Missing data", T2&lt;=J2)</f>
        <v>1</v>
      </c>
    </row>
    <row r="3" spans="1:23">
      <c r="A3" t="s">
        <v>99</v>
      </c>
      <c r="B3" s="1">
        <v>45727</v>
      </c>
      <c r="C3" s="1">
        <v>45727</v>
      </c>
      <c r="D3" s="1">
        <v>45735</v>
      </c>
      <c r="E3" s="1">
        <v>45751</v>
      </c>
      <c r="F3" s="1">
        <v>45751</v>
      </c>
      <c r="G3" t="s">
        <v>100</v>
      </c>
      <c r="H3" t="s">
        <v>101</v>
      </c>
      <c r="I3" t="s">
        <v>74</v>
      </c>
      <c r="J3">
        <v>25</v>
      </c>
      <c r="L3" t="s">
        <v>102</v>
      </c>
      <c r="M3">
        <v>42</v>
      </c>
      <c r="N3">
        <v>2</v>
      </c>
      <c r="R3" t="s">
        <v>103</v>
      </c>
      <c r="S3" t="s">
        <v>77</v>
      </c>
      <c r="T3" s="53">
        <f>IF(OR(C3="", D3=""), "Error: Missing data", IF(OR(R3="Non-Publishing Tasks", R3="Mockup", R3="Principal Publisher Requests", R3="Ideas / Optimization"), 0, (NETWORKDAYS(C3,D3,Holidays!A$2:A$13))-1))</f>
        <v>6</v>
      </c>
      <c r="U3" s="53">
        <f>IF(OR(D3="", F3=""), "Error: Missing data", IF(OR(R3="Non-Publishing Tasks", R3="Mockup", R3="Principal Publisher Requests", R3="Ideas / Optimization"), 0, (NETWORKDAYS(D3,F3,Holidays!A$2:A$13))-1))</f>
        <v>12</v>
      </c>
      <c r="V3" s="53">
        <f>IF(OR(B3=""),"Error: Dates Required",IF(OR(E3=""),"0",IF(OR(R3="Non-Publishing Tasks",R3="Mockup",R3="Principal Publisher Requests",R3="Ideas / Optimization",R3="Maintenance"),0,(NETWORKDAYS(B3,E3,Holidays!A$2:A$13))-1)))</f>
        <v>18</v>
      </c>
      <c r="W3" s="54" t="b">
        <f>IF(OR(NOT(ISNUMBER(T3)), NOT(ISNUMBER(J3))), "Error: Missing data", T3&lt;=J3)</f>
        <v>1</v>
      </c>
    </row>
    <row r="4" spans="1:23">
      <c r="A4" t="s">
        <v>113</v>
      </c>
      <c r="B4" s="1">
        <v>45754</v>
      </c>
      <c r="C4" s="1">
        <v>45754</v>
      </c>
      <c r="D4" s="1">
        <v>45754</v>
      </c>
      <c r="E4" s="1">
        <v>45755</v>
      </c>
      <c r="F4" s="1">
        <v>45754</v>
      </c>
      <c r="G4" t="s">
        <v>100</v>
      </c>
      <c r="I4" t="s">
        <v>74</v>
      </c>
      <c r="J4">
        <v>3</v>
      </c>
      <c r="L4" t="s">
        <v>98</v>
      </c>
      <c r="N4">
        <v>2</v>
      </c>
      <c r="R4" t="s">
        <v>76</v>
      </c>
      <c r="S4" t="s">
        <v>77</v>
      </c>
      <c r="T4" s="53">
        <f>IF(OR(C4="", D4=""), "Error: Missing data", IF(OR(R4="Non-Publishing Tasks", R4="Mockup", R4="Principal Publisher Requests", R4="Ideas / Optimization"), 0, (NETWORKDAYS(C4,D4,Holidays!A$2:A$13))-1))</f>
        <v>0</v>
      </c>
      <c r="U4" s="53">
        <f>IF(OR(D4="", F4=""), "Error: Missing data", IF(OR(R4="Non-Publishing Tasks", R4="Mockup", R4="Principal Publisher Requests", R4="Ideas / Optimization"), 0, (NETWORKDAYS(D4,F4,Holidays!A$2:A$13))-1))</f>
        <v>0</v>
      </c>
      <c r="V4" s="53">
        <f>IF(OR(B4=""),"Error: Dates Required",IF(OR(E4=""),"0",IF(OR(R4="Non-Publishing Tasks",R4="Mockup",R4="Principal Publisher Requests",R4="Ideas / Optimization",R4="Maintenance"),0,(NETWORKDAYS(B4,E4,Holidays!A$2:A$13))-1)))</f>
        <v>1</v>
      </c>
      <c r="W4" s="54" t="b">
        <f>IF(OR(NOT(ISNUMBER(T4)), NOT(ISNUMBER(J4))), "Error: Missing data", T4&lt;=J4)</f>
        <v>1</v>
      </c>
    </row>
    <row r="5" spans="1:23">
      <c r="A5" t="s">
        <v>119</v>
      </c>
      <c r="B5" s="1">
        <v>45740</v>
      </c>
      <c r="C5" s="1">
        <v>45751</v>
      </c>
      <c r="D5" s="1">
        <v>45754</v>
      </c>
      <c r="E5" s="1">
        <v>45755</v>
      </c>
      <c r="F5" s="1">
        <v>45754</v>
      </c>
      <c r="G5" t="s">
        <v>100</v>
      </c>
      <c r="I5" t="s">
        <v>74</v>
      </c>
      <c r="J5">
        <v>25</v>
      </c>
      <c r="L5" t="s">
        <v>120</v>
      </c>
      <c r="R5" t="s">
        <v>121</v>
      </c>
      <c r="S5" t="s">
        <v>109</v>
      </c>
      <c r="T5" s="53">
        <f>IF(OR(C5="", D5=""), "Error: Missing data", IF(OR(R5="Non-Publishing Tasks", R5="Mockup", R5="Principal Publisher Requests", R5="Ideas / Optimization"), 0, (NETWORKDAYS(C5,D5,Holidays!A$2:A$13))-1))</f>
        <v>0</v>
      </c>
      <c r="U5" s="53">
        <f>IF(OR(D5="", F5=""), "Error: Missing data", IF(OR(R5="Non-Publishing Tasks", R5="Mockup", R5="Principal Publisher Requests", R5="Ideas / Optimization"), 0, (NETWORKDAYS(D5,F5,Holidays!A$2:A$13))-1))</f>
        <v>0</v>
      </c>
      <c r="V5" s="53">
        <f>IF(OR(B5=""),"Error: Dates Required",IF(OR(E5=""),"0",IF(OR(R5="Non-Publishing Tasks",R5="Mockup",R5="Principal Publisher Requests",R5="Ideas / Optimization",R5="Maintenance"),0,(NETWORKDAYS(B5,E5,Holidays!A$2:A$13))-1)))</f>
        <v>0</v>
      </c>
      <c r="W5" s="54" t="b">
        <f>IF(OR(NOT(ISNUMBER(T5)), NOT(ISNUMBER(J5))), "Error: Missing data", T5&lt;=J5)</f>
        <v>1</v>
      </c>
    </row>
    <row r="6" spans="1:23">
      <c r="A6" t="s">
        <v>127</v>
      </c>
      <c r="B6" s="1">
        <v>45692</v>
      </c>
      <c r="C6" s="1">
        <v>45755</v>
      </c>
      <c r="D6" s="1">
        <v>45755</v>
      </c>
      <c r="E6"/>
      <c r="F6" s="1">
        <v>45755</v>
      </c>
      <c r="G6" t="s">
        <v>100</v>
      </c>
      <c r="I6" t="s">
        <v>128</v>
      </c>
      <c r="J6">
        <v>3</v>
      </c>
      <c r="L6" t="s">
        <v>98</v>
      </c>
      <c r="N6">
        <v>4</v>
      </c>
      <c r="R6" t="s">
        <v>129</v>
      </c>
      <c r="S6" t="s">
        <v>77</v>
      </c>
      <c r="T6" s="53">
        <f>IF(OR(C6="", D6=""), "Error: Missing data", IF(OR(R6="Non-Publishing Tasks", R6="Mockup", R6="Principal Publisher Requests", R6="Ideas / Optimization"), 0, (NETWORKDAYS(C6,D6,Holidays!A$2:A$13))-1))</f>
        <v>0</v>
      </c>
      <c r="U6" s="53">
        <f>IF(OR(D6="", F6=""), "Error: Missing data", IF(OR(R6="Non-Publishing Tasks", R6="Mockup", R6="Principal Publisher Requests", R6="Ideas / Optimization"), 0, (NETWORKDAYS(D6,F6,Holidays!A$2:A$13))-1))</f>
        <v>0</v>
      </c>
      <c r="V6" s="53" t="str">
        <f>IF(OR(B6=""),"Error: Dates Required",IF(OR(E6=""),"0",IF(OR(R6="Non-Publishing Tasks",R6="Mockup",R6="Principal Publisher Requests",R6="Ideas / Optimization",R6="Maintenance"),0,(NETWORKDAYS(B6,E6,Holidays!A$2:A$13))-1)))</f>
        <v>0</v>
      </c>
      <c r="W6" s="54" t="b">
        <f>IF(OR(NOT(ISNUMBER(T6)), NOT(ISNUMBER(J6))), "Error: Missing data", T6&lt;=J6)</f>
        <v>1</v>
      </c>
    </row>
    <row r="7" spans="1:23">
      <c r="A7" t="s">
        <v>132</v>
      </c>
      <c r="B7" s="1">
        <v>45756</v>
      </c>
      <c r="C7" s="1">
        <v>45756</v>
      </c>
      <c r="D7" s="1">
        <v>45756</v>
      </c>
      <c r="E7" s="1">
        <v>45756</v>
      </c>
      <c r="F7" s="1">
        <v>45756</v>
      </c>
      <c r="G7" t="s">
        <v>100</v>
      </c>
      <c r="H7" t="s">
        <v>133</v>
      </c>
      <c r="I7" t="s">
        <v>74</v>
      </c>
      <c r="J7">
        <v>3</v>
      </c>
      <c r="L7" t="s">
        <v>134</v>
      </c>
      <c r="N7">
        <v>20</v>
      </c>
      <c r="R7" t="s">
        <v>106</v>
      </c>
      <c r="S7" t="s">
        <v>77</v>
      </c>
      <c r="T7" s="53">
        <f>IF(OR(C7="", D7=""), "Error: Missing data", IF(OR(R7="Non-Publishing Tasks", R7="Mockup", R7="Principal Publisher Requests", R7="Ideas / Optimization"), 0, (NETWORKDAYS(C7,D7,Holidays!A$2:A$13))-1))</f>
        <v>0</v>
      </c>
      <c r="U7" s="53">
        <f>IF(OR(D7="", F7=""), "Error: Missing data", IF(OR(R7="Non-Publishing Tasks", R7="Mockup", R7="Principal Publisher Requests", R7="Ideas / Optimization"), 0, (NETWORKDAYS(D7,F7,Holidays!A$2:A$13))-1))</f>
        <v>0</v>
      </c>
      <c r="V7" s="53">
        <f>IF(OR(B7=""),"Error: Dates Required",IF(OR(E7=""),"0",IF(OR(R7="Non-Publishing Tasks",R7="Mockup",R7="Principal Publisher Requests",R7="Ideas / Optimization",R7="Maintenance"),0,(NETWORKDAYS(B7,E7,Holidays!A$2:A$13))-1)))</f>
        <v>0</v>
      </c>
      <c r="W7" s="54" t="b">
        <f>IF(OR(NOT(ISNUMBER(T7)), NOT(ISNUMBER(J7))), "Error: Missing data", T7&lt;=J7)</f>
        <v>1</v>
      </c>
    </row>
    <row r="8" spans="1:23">
      <c r="A8" t="s">
        <v>135</v>
      </c>
      <c r="B8" s="1">
        <v>45751</v>
      </c>
      <c r="C8" s="1">
        <v>45751</v>
      </c>
      <c r="D8" s="1">
        <v>45756</v>
      </c>
      <c r="E8" s="1">
        <v>45756</v>
      </c>
      <c r="F8" s="1">
        <v>45756</v>
      </c>
      <c r="G8" t="s">
        <v>100</v>
      </c>
      <c r="I8" t="s">
        <v>88</v>
      </c>
      <c r="J8">
        <v>25</v>
      </c>
      <c r="L8" t="s">
        <v>120</v>
      </c>
      <c r="R8" t="s">
        <v>121</v>
      </c>
      <c r="S8" t="s">
        <v>77</v>
      </c>
      <c r="T8" s="53">
        <f>IF(OR(C8="", D8=""), "Error: Missing data", IF(OR(R8="Non-Publishing Tasks", R8="Mockup", R8="Principal Publisher Requests", R8="Ideas / Optimization"), 0, (NETWORKDAYS(C8,D8,Holidays!A$2:A$13))-1))</f>
        <v>0</v>
      </c>
      <c r="U8" s="53">
        <f>IF(OR(D8="", F8=""), "Error: Missing data", IF(OR(R8="Non-Publishing Tasks", R8="Mockup", R8="Principal Publisher Requests", R8="Ideas / Optimization"), 0, (NETWORKDAYS(D8,F8,Holidays!A$2:A$13))-1))</f>
        <v>0</v>
      </c>
      <c r="V8" s="53">
        <f>IF(OR(B8=""),"Error: Dates Required",IF(OR(E8=""),"0",IF(OR(R8="Non-Publishing Tasks",R8="Mockup",R8="Principal Publisher Requests",R8="Ideas / Optimization",R8="Maintenance"),0,(NETWORKDAYS(B8,E8,Holidays!A$2:A$13))-1)))</f>
        <v>0</v>
      </c>
      <c r="W8" s="54" t="b">
        <f>IF(OR(NOT(ISNUMBER(T8)), NOT(ISNUMBER(J8))), "Error: Missing data", T8&lt;=J8)</f>
        <v>1</v>
      </c>
    </row>
    <row r="9" spans="1:23">
      <c r="A9" t="s">
        <v>142</v>
      </c>
      <c r="B9" s="1">
        <v>45721</v>
      </c>
      <c r="C9" s="1">
        <v>45756</v>
      </c>
      <c r="D9" s="1">
        <v>45758</v>
      </c>
      <c r="E9"/>
      <c r="F9" s="1">
        <v>45758</v>
      </c>
      <c r="G9" t="s">
        <v>100</v>
      </c>
      <c r="I9" t="s">
        <v>128</v>
      </c>
      <c r="J9">
        <v>10</v>
      </c>
      <c r="M9">
        <v>3</v>
      </c>
      <c r="R9" t="s">
        <v>129</v>
      </c>
      <c r="S9" t="s">
        <v>77</v>
      </c>
      <c r="T9" s="53">
        <f>IF(OR(C9="", D9=""), "Error: Missing data", IF(OR(R9="Non-Publishing Tasks", R9="Mockup", R9="Principal Publisher Requests", R9="Ideas / Optimization"), 0, (NETWORKDAYS(C9,D9,Holidays!A$2:A$13))-1))</f>
        <v>2</v>
      </c>
      <c r="U9" s="53">
        <f>IF(OR(D9="", F9=""), "Error: Missing data", IF(OR(R9="Non-Publishing Tasks", R9="Mockup", R9="Principal Publisher Requests", R9="Ideas / Optimization"), 0, (NETWORKDAYS(D9,F9,Holidays!A$2:A$13))-1))</f>
        <v>0</v>
      </c>
      <c r="V9" s="53" t="str">
        <f>IF(OR(B9=""),"Error: Dates Required",IF(OR(E9=""),"0",IF(OR(R9="Non-Publishing Tasks",R9="Mockup",R9="Principal Publisher Requests",R9="Ideas / Optimization",R9="Maintenance"),0,(NETWORKDAYS(B9,E9,Holidays!A$2:A$13))-1)))</f>
        <v>0</v>
      </c>
      <c r="W9" s="54" t="b">
        <f>IF(OR(NOT(ISNUMBER(T9)), NOT(ISNUMBER(J9))), "Error: Missing data", T9&lt;=J9)</f>
        <v>1</v>
      </c>
    </row>
    <row r="10" spans="1:23">
      <c r="A10" t="s">
        <v>150</v>
      </c>
      <c r="B10" s="1">
        <v>45754</v>
      </c>
      <c r="C10" s="1">
        <v>45761</v>
      </c>
      <c r="D10" s="1">
        <v>45761</v>
      </c>
      <c r="E10" s="1">
        <v>45761</v>
      </c>
      <c r="F10" s="1">
        <v>45761</v>
      </c>
      <c r="G10" t="s">
        <v>100</v>
      </c>
      <c r="I10" t="s">
        <v>74</v>
      </c>
      <c r="J10">
        <v>3</v>
      </c>
      <c r="L10" t="s">
        <v>147</v>
      </c>
      <c r="N10">
        <v>10</v>
      </c>
      <c r="R10" t="s">
        <v>76</v>
      </c>
      <c r="S10" t="s">
        <v>77</v>
      </c>
      <c r="T10" s="53">
        <f>IF(OR(C10="", D10=""), "Error: Missing data", IF(OR(R10="Non-Publishing Tasks", R10="Mockup", R10="Principal Publisher Requests", R10="Ideas / Optimization"), 0, (NETWORKDAYS(C10,D10,Holidays!A$2:A$13))-1))</f>
        <v>0</v>
      </c>
      <c r="U10" s="53">
        <f>IF(OR(D10="", F10=""), "Error: Missing data", IF(OR(R10="Non-Publishing Tasks", R10="Mockup", R10="Principal Publisher Requests", R10="Ideas / Optimization"), 0, (NETWORKDAYS(D10,F10,Holidays!A$2:A$13))-1))</f>
        <v>0</v>
      </c>
      <c r="V10" s="53">
        <f>IF(OR(B10=""),"Error: Dates Required",IF(OR(E10=""),"0",IF(OR(R10="Non-Publishing Tasks",R10="Mockup",R10="Principal Publisher Requests",R10="Ideas / Optimization",R10="Maintenance"),0,(NETWORKDAYS(B10,E10,Holidays!A$2:A$13))-1)))</f>
        <v>5</v>
      </c>
      <c r="W10" s="54" t="b">
        <f>IF(OR(NOT(ISNUMBER(T10)), NOT(ISNUMBER(J10))), "Error: Missing data", T10&lt;=J10)</f>
        <v>1</v>
      </c>
    </row>
    <row r="11" spans="1:23">
      <c r="A11" t="s">
        <v>158</v>
      </c>
      <c r="B11" s="1">
        <v>45762</v>
      </c>
      <c r="C11" s="1">
        <v>45761</v>
      </c>
      <c r="D11" s="1">
        <v>45762</v>
      </c>
      <c r="E11"/>
      <c r="F11" s="1">
        <v>45762</v>
      </c>
      <c r="G11" t="s">
        <v>100</v>
      </c>
      <c r="I11" t="s">
        <v>88</v>
      </c>
      <c r="J11">
        <v>3</v>
      </c>
      <c r="L11" t="s">
        <v>147</v>
      </c>
      <c r="N11">
        <v>2</v>
      </c>
      <c r="R11" t="s">
        <v>76</v>
      </c>
      <c r="S11" t="s">
        <v>77</v>
      </c>
      <c r="T11" s="53">
        <f>IF(OR(C11="", D11=""), "Error: Missing data", IF(OR(R11="Non-Publishing Tasks", R11="Mockup", R11="Principal Publisher Requests", R11="Ideas / Optimization"), 0, (NETWORKDAYS(C11,D11,Holidays!A$2:A$13))-1))</f>
        <v>1</v>
      </c>
      <c r="U11" s="53">
        <f>IF(OR(D11="", F11=""), "Error: Missing data", IF(OR(R11="Non-Publishing Tasks", R11="Mockup", R11="Principal Publisher Requests", R11="Ideas / Optimization"), 0, (NETWORKDAYS(D11,F11,Holidays!A$2:A$13))-1))</f>
        <v>0</v>
      </c>
      <c r="V11" s="53" t="str">
        <f>IF(OR(B11=""),"Error: Dates Required",IF(OR(E11=""),"0",IF(OR(R11="Non-Publishing Tasks",R11="Mockup",R11="Principal Publisher Requests",R11="Ideas / Optimization",R11="Maintenance"),0,(NETWORKDAYS(B11,E11,Holidays!A$2:A$13))-1)))</f>
        <v>0</v>
      </c>
      <c r="W11" s="54" t="b">
        <f>IF(OR(NOT(ISNUMBER(T11)), NOT(ISNUMBER(J11))), "Error: Missing data", T11&lt;=J11)</f>
        <v>1</v>
      </c>
    </row>
    <row r="12" spans="1:23">
      <c r="A12" t="s">
        <v>78</v>
      </c>
      <c r="B12" s="1">
        <v>45748</v>
      </c>
      <c r="C12" s="1">
        <v>45748</v>
      </c>
      <c r="D12" s="1">
        <v>45748</v>
      </c>
      <c r="E12" s="1">
        <v>45748</v>
      </c>
      <c r="F12" s="1">
        <v>45748</v>
      </c>
      <c r="G12" t="s">
        <v>79</v>
      </c>
      <c r="I12" t="s">
        <v>74</v>
      </c>
      <c r="J12">
        <v>3</v>
      </c>
      <c r="L12" t="s">
        <v>80</v>
      </c>
      <c r="N12">
        <v>6</v>
      </c>
      <c r="O12">
        <v>6</v>
      </c>
      <c r="R12" t="s">
        <v>76</v>
      </c>
      <c r="S12" t="s">
        <v>77</v>
      </c>
      <c r="T12" s="53">
        <f>IF(OR(C12="", D12=""), "Error: Missing data", IF(OR(R12="Non-Publishing Tasks", R12="Mockup", R12="Principal Publisher Requests", R12="Ideas / Optimization"), 0, (NETWORKDAYS(C12,D12,Holidays!A$2:A$13))-1))</f>
        <v>0</v>
      </c>
      <c r="U12" s="53">
        <f>IF(OR(D12="", F12=""), "Error: Missing data", IF(OR(R12="Non-Publishing Tasks", R12="Mockup", R12="Principal Publisher Requests", R12="Ideas / Optimization"), 0, (NETWORKDAYS(D12,F12,Holidays!A$2:A$13))-1))</f>
        <v>0</v>
      </c>
      <c r="V12" s="53">
        <f>IF(OR(B12=""),"Error: Dates Required",IF(OR(E12=""),"0",IF(OR(R12="Non-Publishing Tasks",R12="Mockup",R12="Principal Publisher Requests",R12="Ideas / Optimization",R12="Maintenance"),0,(NETWORKDAYS(B12,E12,Holidays!A$2:A$13))-1)))</f>
        <v>0</v>
      </c>
      <c r="W12" s="54" t="b">
        <f>IF(OR(NOT(ISNUMBER(T12)), NOT(ISNUMBER(J12))), "Error: Missing data", T12&lt;=J12)</f>
        <v>1</v>
      </c>
    </row>
    <row r="13" spans="1:23">
      <c r="A13" t="s">
        <v>104</v>
      </c>
      <c r="B13" s="1">
        <v>45740</v>
      </c>
      <c r="C13" s="1">
        <v>45740</v>
      </c>
      <c r="D13" s="1">
        <v>45740</v>
      </c>
      <c r="E13" s="1">
        <v>45740</v>
      </c>
      <c r="F13" s="1">
        <v>45751</v>
      </c>
      <c r="G13" t="s">
        <v>79</v>
      </c>
      <c r="H13" t="s">
        <v>105</v>
      </c>
      <c r="I13" t="s">
        <v>74</v>
      </c>
      <c r="J13">
        <v>3</v>
      </c>
      <c r="L13" t="s">
        <v>98</v>
      </c>
      <c r="N13">
        <v>6</v>
      </c>
      <c r="R13" t="s">
        <v>106</v>
      </c>
      <c r="S13" t="s">
        <v>77</v>
      </c>
      <c r="T13" s="53">
        <f>IF(OR(C13="", D13=""), "Error: Missing data", IF(OR(R13="Non-Publishing Tasks", R13="Mockup", R13="Principal Publisher Requests", R13="Ideas / Optimization"), 0, (NETWORKDAYS(C13,D13,Holidays!A$2:A$13))-1))</f>
        <v>0</v>
      </c>
      <c r="U13" s="53">
        <f>IF(OR(D13="", F13=""), "Error: Missing data", IF(OR(R13="Non-Publishing Tasks", R13="Mockup", R13="Principal Publisher Requests", R13="Ideas / Optimization"), 0, (NETWORKDAYS(D13,F13,Holidays!A$2:A$13))-1))</f>
        <v>9</v>
      </c>
      <c r="V13" s="53">
        <f>IF(OR(B13=""),"Error: Dates Required",IF(OR(E13=""),"0",IF(OR(R13="Non-Publishing Tasks",R13="Mockup",R13="Principal Publisher Requests",R13="Ideas / Optimization",R13="Maintenance"),0,(NETWORKDAYS(B13,E13,Holidays!A$2:A$13))-1)))</f>
        <v>0</v>
      </c>
      <c r="W13" s="54" t="b">
        <f>IF(OR(NOT(ISNUMBER(T13)), NOT(ISNUMBER(J13))), "Error: Missing data", T13&lt;=J13)</f>
        <v>1</v>
      </c>
    </row>
    <row r="14" spans="1:23">
      <c r="A14" t="s">
        <v>116</v>
      </c>
      <c r="B14" s="1">
        <v>45754</v>
      </c>
      <c r="C14" s="1">
        <v>45754</v>
      </c>
      <c r="D14" s="1">
        <v>45754</v>
      </c>
      <c r="E14" s="1">
        <v>45758</v>
      </c>
      <c r="F14" s="1">
        <v>45754</v>
      </c>
      <c r="G14" t="s">
        <v>79</v>
      </c>
      <c r="I14" t="s">
        <v>74</v>
      </c>
      <c r="J14">
        <v>3</v>
      </c>
      <c r="L14" t="s">
        <v>80</v>
      </c>
      <c r="N14">
        <v>16</v>
      </c>
      <c r="R14" t="s">
        <v>76</v>
      </c>
      <c r="S14" t="s">
        <v>77</v>
      </c>
      <c r="T14" s="53">
        <f>IF(OR(C14="", D14=""), "Error: Missing data", IF(OR(R14="Non-Publishing Tasks", R14="Mockup", R14="Principal Publisher Requests", R14="Ideas / Optimization"), 0, (NETWORKDAYS(C14,D14,Holidays!A$2:A$13))-1))</f>
        <v>0</v>
      </c>
      <c r="U14" s="53">
        <f>IF(OR(D14="", F14=""), "Error: Missing data", IF(OR(R14="Non-Publishing Tasks", R14="Mockup", R14="Principal Publisher Requests", R14="Ideas / Optimization"), 0, (NETWORKDAYS(D14,F14,Holidays!A$2:A$13))-1))</f>
        <v>0</v>
      </c>
      <c r="V14" s="53">
        <f>IF(OR(B14=""),"Error: Dates Required",IF(OR(E14=""),"0",IF(OR(R14="Non-Publishing Tasks",R14="Mockup",R14="Principal Publisher Requests",R14="Ideas / Optimization",R14="Maintenance"),0,(NETWORKDAYS(B14,E14,Holidays!A$2:A$13))-1)))</f>
        <v>4</v>
      </c>
      <c r="W14" s="54" t="b">
        <f>IF(OR(NOT(ISNUMBER(T14)), NOT(ISNUMBER(J14))), "Error: Missing data", T14&lt;=J14)</f>
        <v>1</v>
      </c>
    </row>
    <row r="15" spans="1:23">
      <c r="A15" t="s">
        <v>122</v>
      </c>
      <c r="B15" s="1">
        <v>45751</v>
      </c>
      <c r="C15" s="1">
        <v>45751</v>
      </c>
      <c r="D15" s="1">
        <v>45751</v>
      </c>
      <c r="E15" s="1">
        <v>45757</v>
      </c>
      <c r="F15" s="1">
        <v>45754</v>
      </c>
      <c r="G15" t="s">
        <v>79</v>
      </c>
      <c r="I15" t="s">
        <v>74</v>
      </c>
      <c r="J15">
        <v>3</v>
      </c>
      <c r="L15" t="s">
        <v>123</v>
      </c>
      <c r="N15">
        <v>2</v>
      </c>
      <c r="P15">
        <v>2</v>
      </c>
      <c r="R15" t="s">
        <v>89</v>
      </c>
      <c r="S15" t="s">
        <v>77</v>
      </c>
      <c r="T15" s="53">
        <f>IF(OR(C15="", D15=""), "Error: Missing data", IF(OR(R15="Non-Publishing Tasks", R15="Mockup", R15="Principal Publisher Requests", R15="Ideas / Optimization"), 0, (NETWORKDAYS(C15,D15,Holidays!A$2:A$13))-1))</f>
        <v>0</v>
      </c>
      <c r="U15" s="53">
        <f>IF(OR(D15="", F15=""), "Error: Missing data", IF(OR(R15="Non-Publishing Tasks", R15="Mockup", R15="Principal Publisher Requests", R15="Ideas / Optimization"), 0, (NETWORKDAYS(D15,F15,Holidays!A$2:A$13))-1))</f>
        <v>1</v>
      </c>
      <c r="V15" s="53">
        <f>IF(OR(B15=""),"Error: Dates Required",IF(OR(E15=""),"0",IF(OR(R15="Non-Publishing Tasks",R15="Mockup",R15="Principal Publisher Requests",R15="Ideas / Optimization",R15="Maintenance"),0,(NETWORKDAYS(B15,E15,Holidays!A$2:A$13))-1)))</f>
        <v>4</v>
      </c>
      <c r="W15" s="54" t="b">
        <f>IF(OR(NOT(ISNUMBER(T15)), NOT(ISNUMBER(J15))), "Error: Missing data", T15&lt;=J15)</f>
        <v>1</v>
      </c>
    </row>
    <row r="16" spans="1:23">
      <c r="A16" t="s">
        <v>153</v>
      </c>
      <c r="B16" s="1">
        <v>45748</v>
      </c>
      <c r="C16" s="1">
        <v>45748</v>
      </c>
      <c r="D16" s="1">
        <v>45751</v>
      </c>
      <c r="E16" s="1">
        <v>45761</v>
      </c>
      <c r="F16" s="1">
        <v>45761</v>
      </c>
      <c r="G16" t="s">
        <v>79</v>
      </c>
      <c r="H16" t="s">
        <v>101</v>
      </c>
      <c r="I16" t="s">
        <v>74</v>
      </c>
      <c r="J16">
        <v>10</v>
      </c>
      <c r="L16" t="s">
        <v>154</v>
      </c>
      <c r="M16">
        <v>2</v>
      </c>
      <c r="N16">
        <v>4</v>
      </c>
      <c r="P16">
        <v>6</v>
      </c>
      <c r="R16" t="s">
        <v>103</v>
      </c>
      <c r="S16" t="s">
        <v>77</v>
      </c>
      <c r="T16" s="53">
        <f>IF(OR(C16="", D16=""), "Error: Missing data", IF(OR(R16="Non-Publishing Tasks", R16="Mockup", R16="Principal Publisher Requests", R16="Ideas / Optimization"), 0, (NETWORKDAYS(C16,D16,Holidays!A$2:A$13))-1))</f>
        <v>3</v>
      </c>
      <c r="U16" s="53">
        <f>IF(OR(D16="", F16=""), "Error: Missing data", IF(OR(R16="Non-Publishing Tasks", R16="Mockup", R16="Principal Publisher Requests", R16="Ideas / Optimization"), 0, (NETWORKDAYS(D16,F16,Holidays!A$2:A$13))-1))</f>
        <v>6</v>
      </c>
      <c r="V16" s="53">
        <f>IF(OR(B16=""),"Error: Dates Required",IF(OR(E16=""),"0",IF(OR(R16="Non-Publishing Tasks",R16="Mockup",R16="Principal Publisher Requests",R16="Ideas / Optimization",R16="Maintenance"),0,(NETWORKDAYS(B16,E16,Holidays!A$2:A$13))-1)))</f>
        <v>9</v>
      </c>
      <c r="W16" s="54" t="b">
        <f>IF(OR(NOT(ISNUMBER(T16)), NOT(ISNUMBER(J16))), "Error: Missing data", T16&lt;=J16)</f>
        <v>1</v>
      </c>
    </row>
    <row r="17" spans="1:23">
      <c r="A17" t="s">
        <v>155</v>
      </c>
      <c r="B17" s="1">
        <v>45700</v>
      </c>
      <c r="C17" s="1">
        <v>45723</v>
      </c>
      <c r="D17" s="1">
        <v>45736</v>
      </c>
      <c r="E17" s="1">
        <v>45737</v>
      </c>
      <c r="F17" s="1">
        <v>45761</v>
      </c>
      <c r="G17" t="s">
        <v>79</v>
      </c>
      <c r="I17" t="s">
        <v>74</v>
      </c>
      <c r="J17">
        <v>25</v>
      </c>
      <c r="L17" t="s">
        <v>156</v>
      </c>
      <c r="M17">
        <v>4</v>
      </c>
      <c r="N17">
        <v>2</v>
      </c>
      <c r="R17" t="s">
        <v>103</v>
      </c>
      <c r="S17" t="s">
        <v>77</v>
      </c>
      <c r="T17" s="53">
        <f>IF(OR(C17="", D17=""), "Error: Missing data", IF(OR(R17="Non-Publishing Tasks", R17="Mockup", R17="Principal Publisher Requests", R17="Ideas / Optimization"), 0, (NETWORKDAYS(C17,D17,Holidays!A$2:A$13))-1))</f>
        <v>9</v>
      </c>
      <c r="U17" s="53">
        <f>IF(OR(D17="", F17=""), "Error: Missing data", IF(OR(R17="Non-Publishing Tasks", R17="Mockup", R17="Principal Publisher Requests", R17="Ideas / Optimization"), 0, (NETWORKDAYS(D17,F17,Holidays!A$2:A$13))-1))</f>
        <v>17</v>
      </c>
      <c r="V17" s="53">
        <f>IF(OR(B17=""),"Error: Dates Required",IF(OR(E17=""),"0",IF(OR(R17="Non-Publishing Tasks",R17="Mockup",R17="Principal Publisher Requests",R17="Ideas / Optimization",R17="Maintenance"),0,(NETWORKDAYS(B17,E17,Holidays!A$2:A$13))-1)))</f>
        <v>27</v>
      </c>
      <c r="W17" s="54" t="b">
        <f>IF(OR(NOT(ISNUMBER(T17)), NOT(ISNUMBER(J17))), "Error: Missing data", T17&lt;=J17)</f>
        <v>1</v>
      </c>
    </row>
    <row r="18" spans="1:23">
      <c r="A18" t="s">
        <v>168</v>
      </c>
      <c r="B18" s="1">
        <v>45762</v>
      </c>
      <c r="C18" s="1">
        <v>45762</v>
      </c>
      <c r="D18" s="1">
        <v>45762</v>
      </c>
      <c r="E18" s="1">
        <v>45763</v>
      </c>
      <c r="F18" s="1">
        <v>45764</v>
      </c>
      <c r="G18" t="s">
        <v>79</v>
      </c>
      <c r="I18" t="s">
        <v>74</v>
      </c>
      <c r="J18">
        <v>3</v>
      </c>
      <c r="L18" t="s">
        <v>123</v>
      </c>
      <c r="N18">
        <v>1</v>
      </c>
      <c r="P18">
        <v>1</v>
      </c>
      <c r="R18" t="s">
        <v>89</v>
      </c>
      <c r="S18" t="s">
        <v>77</v>
      </c>
      <c r="T18" s="53">
        <f>IF(OR(C18="", D18=""), "Error: Missing data", IF(OR(R18="Non-Publishing Tasks", R18="Mockup", R18="Principal Publisher Requests", R18="Ideas / Optimization"), 0, (NETWORKDAYS(C18,D18,Holidays!A$2:A$13))-1))</f>
        <v>0</v>
      </c>
      <c r="U18" s="53">
        <f>IF(OR(D18="", F18=""), "Error: Missing data", IF(OR(R18="Non-Publishing Tasks", R18="Mockup", R18="Principal Publisher Requests", R18="Ideas / Optimization"), 0, (NETWORKDAYS(D18,F18,Holidays!A$2:A$13))-1))</f>
        <v>2</v>
      </c>
      <c r="V18" s="53">
        <f>IF(OR(B18=""),"Error: Dates Required",IF(OR(E18=""),"0",IF(OR(R18="Non-Publishing Tasks",R18="Mockup",R18="Principal Publisher Requests",R18="Ideas / Optimization",R18="Maintenance"),0,(NETWORKDAYS(B18,E18,Holidays!A$2:A$13))-1)))</f>
        <v>1</v>
      </c>
      <c r="W18" s="54" t="b">
        <f>IF(OR(NOT(ISNUMBER(T18)), NOT(ISNUMBER(J18))), "Error: Missing data", T18&lt;=J18)</f>
        <v>1</v>
      </c>
    </row>
    <row r="19" spans="1:23">
      <c r="A19" t="s">
        <v>177</v>
      </c>
      <c r="B19" s="1">
        <v>45761</v>
      </c>
      <c r="C19" s="1">
        <v>45761</v>
      </c>
      <c r="D19" s="1">
        <v>45761</v>
      </c>
      <c r="E19" s="1">
        <v>45763</v>
      </c>
      <c r="F19" s="1">
        <v>45771</v>
      </c>
      <c r="G19" t="s">
        <v>79</v>
      </c>
      <c r="I19" t="s">
        <v>74</v>
      </c>
      <c r="J19">
        <v>3</v>
      </c>
      <c r="L19" t="s">
        <v>80</v>
      </c>
      <c r="P19">
        <v>2</v>
      </c>
      <c r="R19" t="s">
        <v>89</v>
      </c>
      <c r="S19" t="s">
        <v>77</v>
      </c>
      <c r="T19" s="53">
        <f>IF(OR(C19="", D19=""), "Error: Missing data", IF(OR(R19="Non-Publishing Tasks", R19="Mockup", R19="Principal Publisher Requests", R19="Ideas / Optimization"), 0, (NETWORKDAYS(C19,D19,Holidays!A$2:A$13))-1))</f>
        <v>0</v>
      </c>
      <c r="U19" s="53">
        <f>IF(OR(D19="", F19=""), "Error: Missing data", IF(OR(R19="Non-Publishing Tasks", R19="Mockup", R19="Principal Publisher Requests", R19="Ideas / Optimization"), 0, (NETWORKDAYS(D19,F19,Holidays!A$2:A$13))-1))</f>
        <v>8</v>
      </c>
      <c r="V19" s="53">
        <f>IF(OR(B19=""),"Error: Dates Required",IF(OR(E19=""),"0",IF(OR(R19="Non-Publishing Tasks",R19="Mockup",R19="Principal Publisher Requests",R19="Ideas / Optimization",R19="Maintenance"),0,(NETWORKDAYS(B19,E19,Holidays!A$2:A$13))-1)))</f>
        <v>2</v>
      </c>
      <c r="W19" s="54" t="b">
        <f>IF(OR(NOT(ISNUMBER(T19)), NOT(ISNUMBER(J19))), "Error: Missing data", T19&lt;=J19)</f>
        <v>1</v>
      </c>
    </row>
    <row r="20" spans="1:23">
      <c r="A20" t="s">
        <v>81</v>
      </c>
      <c r="B20" s="1">
        <v>45749</v>
      </c>
      <c r="C20" s="1">
        <v>45749</v>
      </c>
      <c r="D20" s="1">
        <v>45749</v>
      </c>
      <c r="E20" s="1">
        <v>45749</v>
      </c>
      <c r="F20" s="1">
        <v>45749</v>
      </c>
      <c r="G20" t="s">
        <v>82</v>
      </c>
      <c r="J20">
        <v>3</v>
      </c>
      <c r="L20" t="s">
        <v>83</v>
      </c>
      <c r="N20">
        <v>1</v>
      </c>
      <c r="R20" t="s">
        <v>76</v>
      </c>
      <c r="S20" t="s">
        <v>77</v>
      </c>
      <c r="T20" s="53">
        <f>IF(OR(C20="", D20=""), "Error: Missing data", IF(OR(R20="Non-Publishing Tasks", R20="Mockup", R20="Principal Publisher Requests", R20="Ideas / Optimization"), 0, (NETWORKDAYS(C20,D20,Holidays!A$2:A$13))-1))</f>
        <v>0</v>
      </c>
      <c r="U20" s="53">
        <f>IF(OR(D20="", F20=""), "Error: Missing data", IF(OR(R20="Non-Publishing Tasks", R20="Mockup", R20="Principal Publisher Requests", R20="Ideas / Optimization"), 0, (NETWORKDAYS(D20,F20,Holidays!A$2:A$13))-1))</f>
        <v>0</v>
      </c>
      <c r="V20" s="53">
        <f>IF(OR(B20=""),"Error: Dates Required",IF(OR(E20=""),"0",IF(OR(R20="Non-Publishing Tasks",R20="Mockup",R20="Principal Publisher Requests",R20="Ideas / Optimization",R20="Maintenance"),0,(NETWORKDAYS(B20,E20,Holidays!A$2:A$13))-1)))</f>
        <v>0</v>
      </c>
      <c r="W20" s="54" t="b">
        <f>IF(OR(NOT(ISNUMBER(T20)), NOT(ISNUMBER(J20))), "Error: Missing data", T20&lt;=J20)</f>
        <v>1</v>
      </c>
    </row>
    <row r="21" spans="1:23">
      <c r="A21" t="s">
        <v>84</v>
      </c>
      <c r="B21" s="1">
        <v>45747</v>
      </c>
      <c r="C21" s="1">
        <v>45748</v>
      </c>
      <c r="D21" s="1">
        <v>45748</v>
      </c>
      <c r="E21" s="1">
        <v>45748</v>
      </c>
      <c r="F21" s="1">
        <v>45749</v>
      </c>
      <c r="G21" t="s">
        <v>82</v>
      </c>
      <c r="I21" t="s">
        <v>74</v>
      </c>
      <c r="J21">
        <v>3</v>
      </c>
      <c r="L21" t="s">
        <v>85</v>
      </c>
      <c r="M21">
        <v>2</v>
      </c>
      <c r="N21">
        <v>6</v>
      </c>
      <c r="R21" t="s">
        <v>86</v>
      </c>
      <c r="S21" t="s">
        <v>77</v>
      </c>
      <c r="T21" s="53">
        <f>IF(OR(C21="", D21=""), "Error: Missing data", IF(OR(R21="Non-Publishing Tasks", R21="Mockup", R21="Principal Publisher Requests", R21="Ideas / Optimization"), 0, (NETWORKDAYS(C21,D21,Holidays!A$2:A$13))-1))</f>
        <v>0</v>
      </c>
      <c r="U21" s="53">
        <f>IF(OR(D21="", F21=""), "Error: Missing data", IF(OR(R21="Non-Publishing Tasks", R21="Mockup", R21="Principal Publisher Requests", R21="Ideas / Optimization"), 0, (NETWORKDAYS(D21,F21,Holidays!A$2:A$13))-1))</f>
        <v>1</v>
      </c>
      <c r="V21" s="53">
        <f>IF(OR(B21=""),"Error: Dates Required",IF(OR(E21=""),"0",IF(OR(R21="Non-Publishing Tasks",R21="Mockup",R21="Principal Publisher Requests",R21="Ideas / Optimization",R21="Maintenance"),0,(NETWORKDAYS(B21,E21,Holidays!A$2:A$13))-1)))</f>
        <v>1</v>
      </c>
      <c r="W21" s="54" t="b">
        <f>IF(OR(NOT(ISNUMBER(T21)), NOT(ISNUMBER(J21))), "Error: Missing data", T21&lt;=J21)</f>
        <v>1</v>
      </c>
    </row>
    <row r="22" spans="1:23">
      <c r="A22" t="s">
        <v>93</v>
      </c>
      <c r="B22" s="1">
        <v>45750</v>
      </c>
      <c r="C22" s="1">
        <v>45749</v>
      </c>
      <c r="D22" s="1">
        <v>45749</v>
      </c>
      <c r="E22"/>
      <c r="F22" s="1">
        <v>45750</v>
      </c>
      <c r="G22" t="s">
        <v>82</v>
      </c>
      <c r="J22">
        <v>3</v>
      </c>
      <c r="L22" t="s">
        <v>94</v>
      </c>
      <c r="N22">
        <v>2</v>
      </c>
      <c r="R22" t="s">
        <v>95</v>
      </c>
      <c r="S22" t="s">
        <v>77</v>
      </c>
      <c r="T22" s="53">
        <f>IF(OR(C22="", D22=""), "Error: Missing data", IF(OR(R22="Non-Publishing Tasks", R22="Mockup", R22="Principal Publisher Requests", R22="Ideas / Optimization"), 0, (NETWORKDAYS(C22,D22,Holidays!A$2:A$13))-1))</f>
        <v>0</v>
      </c>
      <c r="U22" s="53">
        <f>IF(OR(D22="", F22=""), "Error: Missing data", IF(OR(R22="Non-Publishing Tasks", R22="Mockup", R22="Principal Publisher Requests", R22="Ideas / Optimization"), 0, (NETWORKDAYS(D22,F22,Holidays!A$2:A$13))-1))</f>
        <v>1</v>
      </c>
      <c r="V22" s="53" t="str">
        <f>IF(OR(B22=""),"Error: Dates Required",IF(OR(E22=""),"0",IF(OR(R22="Non-Publishing Tasks",R22="Mockup",R22="Principal Publisher Requests",R22="Ideas / Optimization",R22="Maintenance"),0,(NETWORKDAYS(B22,E22,Holidays!A$2:A$13))-1)))</f>
        <v>0</v>
      </c>
      <c r="W22" s="54" t="b">
        <f>IF(OR(NOT(ISNUMBER(T22)), NOT(ISNUMBER(J22))), "Error: Missing data", T22&lt;=J22)</f>
        <v>1</v>
      </c>
    </row>
    <row r="23" spans="1:23">
      <c r="A23" t="s">
        <v>130</v>
      </c>
      <c r="B23" s="1">
        <v>45755</v>
      </c>
      <c r="C23" s="1">
        <v>45754</v>
      </c>
      <c r="D23" s="1">
        <v>45755</v>
      </c>
      <c r="E23" s="1">
        <v>45756</v>
      </c>
      <c r="F23" s="1">
        <v>45755</v>
      </c>
      <c r="G23" t="s">
        <v>82</v>
      </c>
      <c r="I23" t="s">
        <v>88</v>
      </c>
      <c r="J23">
        <v>3</v>
      </c>
      <c r="L23" t="s">
        <v>131</v>
      </c>
      <c r="N23">
        <v>8</v>
      </c>
      <c r="R23" t="s">
        <v>76</v>
      </c>
      <c r="S23" t="s">
        <v>77</v>
      </c>
      <c r="T23" s="53">
        <f>IF(OR(C23="", D23=""), "Error: Missing data", IF(OR(R23="Non-Publishing Tasks", R23="Mockup", R23="Principal Publisher Requests", R23="Ideas / Optimization"), 0, (NETWORKDAYS(C23,D23,Holidays!A$2:A$13))-1))</f>
        <v>1</v>
      </c>
      <c r="U23" s="53">
        <f>IF(OR(D23="", F23=""), "Error: Missing data", IF(OR(R23="Non-Publishing Tasks", R23="Mockup", R23="Principal Publisher Requests", R23="Ideas / Optimization"), 0, (NETWORKDAYS(D23,F23,Holidays!A$2:A$13))-1))</f>
        <v>0</v>
      </c>
      <c r="V23" s="53">
        <f>IF(OR(B23=""),"Error: Dates Required",IF(OR(E23=""),"0",IF(OR(R23="Non-Publishing Tasks",R23="Mockup",R23="Principal Publisher Requests",R23="Ideas / Optimization",R23="Maintenance"),0,(NETWORKDAYS(B23,E23,Holidays!A$2:A$13))-1)))</f>
        <v>1</v>
      </c>
      <c r="W23" s="54" t="b">
        <f>IF(OR(NOT(ISNUMBER(T23)), NOT(ISNUMBER(J23))), "Error: Missing data", T23&lt;=J23)</f>
        <v>1</v>
      </c>
    </row>
    <row r="24" spans="1:23">
      <c r="A24" t="s">
        <v>170</v>
      </c>
      <c r="B24" s="1">
        <v>45757</v>
      </c>
      <c r="C24" s="1">
        <v>45757</v>
      </c>
      <c r="D24" s="1">
        <v>45764</v>
      </c>
      <c r="E24" s="1">
        <v>45807</v>
      </c>
      <c r="F24" s="1">
        <v>45769</v>
      </c>
      <c r="G24" t="s">
        <v>82</v>
      </c>
      <c r="H24" t="s">
        <v>101</v>
      </c>
      <c r="I24" t="s">
        <v>88</v>
      </c>
      <c r="J24">
        <v>10</v>
      </c>
      <c r="L24" t="s">
        <v>171</v>
      </c>
      <c r="M24">
        <v>2</v>
      </c>
      <c r="R24" t="s">
        <v>121</v>
      </c>
      <c r="S24" t="s">
        <v>77</v>
      </c>
      <c r="T24" s="53">
        <f>IF(OR(C24="", D24=""), "Error: Missing data", IF(OR(R24="Non-Publishing Tasks", R24="Mockup", R24="Principal Publisher Requests", R24="Ideas / Optimization"), 0, (NETWORKDAYS(C24,D24,Holidays!A$2:A$13))-1))</f>
        <v>0</v>
      </c>
      <c r="U24" s="53">
        <f>IF(OR(D24="", F24=""), "Error: Missing data", IF(OR(R24="Non-Publishing Tasks", R24="Mockup", R24="Principal Publisher Requests", R24="Ideas / Optimization"), 0, (NETWORKDAYS(D24,F24,Holidays!A$2:A$13))-1))</f>
        <v>0</v>
      </c>
      <c r="V24" s="53">
        <f>IF(OR(B24=""),"Error: Dates Required",IF(OR(E24=""),"0",IF(OR(R24="Non-Publishing Tasks",R24="Mockup",R24="Principal Publisher Requests",R24="Ideas / Optimization",R24="Maintenance"),0,(NETWORKDAYS(B24,E24,Holidays!A$2:A$13))-1)))</f>
        <v>0</v>
      </c>
      <c r="W24" s="54" t="b">
        <f>IF(OR(NOT(ISNUMBER(T24)), NOT(ISNUMBER(J24))), "Error: Missing data", T24&lt;=J24)</f>
        <v>1</v>
      </c>
    </row>
    <row r="25" spans="1:23">
      <c r="A25" t="s">
        <v>72</v>
      </c>
      <c r="B25" s="1">
        <v>45741</v>
      </c>
      <c r="C25" s="1">
        <v>45748</v>
      </c>
      <c r="D25" s="1">
        <v>45748</v>
      </c>
      <c r="E25" s="1">
        <v>45749</v>
      </c>
      <c r="F25" s="1">
        <v>45748</v>
      </c>
      <c r="G25" t="s">
        <v>73</v>
      </c>
      <c r="I25" t="s">
        <v>74</v>
      </c>
      <c r="J25">
        <v>3</v>
      </c>
      <c r="L25" t="s">
        <v>75</v>
      </c>
      <c r="N25">
        <v>2</v>
      </c>
      <c r="P25">
        <v>4</v>
      </c>
      <c r="R25" t="s">
        <v>76</v>
      </c>
      <c r="S25" t="s">
        <v>77</v>
      </c>
      <c r="T25" s="13">
        <f>IF(OR(C25="", D25=""), "Error: Missing data", IF(OR(R25="Non-Publishing Tasks", R25="Mockup", R25="Principal Publisher Requests", R25="Ideas / Optimization"), 0, (NETWORKDAYS(C25,D25,Holidays!A$2:A$13))-1))</f>
        <v>0</v>
      </c>
      <c r="U25" s="13">
        <f>IF(OR(D25="", F25=""), "Error: Missing data", IF(OR(R25="Non-Publishing Tasks", R25="Mockup", R25="Principal Publisher Requests", R25="Ideas / Optimization"), 0, (NETWORKDAYS(D25,F25,Holidays!A$2:A$13))-1))</f>
        <v>0</v>
      </c>
      <c r="V25" s="13">
        <f>IF(OR(B25=""),"Error: Dates Required",IF(OR(E25=""),"0",IF(OR(R25="Non-Publishing Tasks",R25="Mockup",R25="Principal Publisher Requests",R25="Ideas / Optimization",R25="Maintenance"),0,(NETWORKDAYS(B25,E25,Holidays!A$2:A$13))-1)))</f>
        <v>6</v>
      </c>
      <c r="W25" s="57" t="b">
        <f>IF(OR(NOT(ISNUMBER(T25)), NOT(ISNUMBER(J25))), "Error: Missing data", T25&lt;=J25)</f>
        <v>1</v>
      </c>
    </row>
    <row r="26" spans="1:23">
      <c r="A26" t="s">
        <v>87</v>
      </c>
      <c r="B26" s="1">
        <v>45743</v>
      </c>
      <c r="C26" s="1">
        <v>45743</v>
      </c>
      <c r="D26" s="1">
        <v>45743</v>
      </c>
      <c r="E26"/>
      <c r="F26" s="1">
        <v>45750</v>
      </c>
      <c r="G26" t="s">
        <v>73</v>
      </c>
      <c r="I26" t="s">
        <v>88</v>
      </c>
      <c r="J26">
        <v>3</v>
      </c>
      <c r="L26" t="s">
        <v>85</v>
      </c>
      <c r="N26">
        <v>2</v>
      </c>
      <c r="P26">
        <v>1</v>
      </c>
      <c r="R26" t="s">
        <v>89</v>
      </c>
      <c r="S26" t="s">
        <v>77</v>
      </c>
      <c r="T26" s="53">
        <f>IF(OR(C26="", D26=""), "Error: Missing data", IF(OR(R26="Non-Publishing Tasks", R26="Mockup", R26="Principal Publisher Requests", R26="Ideas / Optimization"), 0, (NETWORKDAYS(C26,D26,Holidays!A$2:A$13))-1))</f>
        <v>0</v>
      </c>
      <c r="U26" s="53">
        <f>IF(OR(D26="", F26=""), "Error: Missing data", IF(OR(R26="Non-Publishing Tasks", R26="Mockup", R26="Principal Publisher Requests", R26="Ideas / Optimization"), 0, (NETWORKDAYS(D26,F26,Holidays!A$2:A$13))-1))</f>
        <v>5</v>
      </c>
      <c r="V26" s="53" t="str">
        <f>IF(OR(B26=""),"Error: Dates Required",IF(OR(E26=""),"0",IF(OR(R26="Non-Publishing Tasks",R26="Mockup",R26="Principal Publisher Requests",R26="Ideas / Optimization",R26="Maintenance"),0,(NETWORKDAYS(B26,E26,Holidays!A$2:A$13))-1)))</f>
        <v>0</v>
      </c>
      <c r="W26" s="54" t="b">
        <f>IF(OR(NOT(ISNUMBER(T26)), NOT(ISNUMBER(J26))), "Error: Missing data", T26&lt;=J26)</f>
        <v>1</v>
      </c>
    </row>
    <row r="27" spans="1:23">
      <c r="A27" t="s">
        <v>96</v>
      </c>
      <c r="B27" s="1">
        <v>45751</v>
      </c>
      <c r="C27" s="1">
        <v>45751</v>
      </c>
      <c r="D27" s="1">
        <v>45751</v>
      </c>
      <c r="E27" s="1">
        <v>45754</v>
      </c>
      <c r="F27" s="1">
        <v>45751</v>
      </c>
      <c r="G27" t="s">
        <v>73</v>
      </c>
      <c r="H27" t="s">
        <v>97</v>
      </c>
      <c r="I27" t="s">
        <v>74</v>
      </c>
      <c r="J27">
        <v>3</v>
      </c>
      <c r="L27" t="s">
        <v>98</v>
      </c>
      <c r="N27">
        <v>8</v>
      </c>
      <c r="R27" t="s">
        <v>76</v>
      </c>
      <c r="S27" t="s">
        <v>77</v>
      </c>
      <c r="T27" s="53">
        <f>IF(OR(C27="", D27=""), "Error: Missing data", IF(OR(R27="Non-Publishing Tasks", R27="Mockup", R27="Principal Publisher Requests", R27="Ideas / Optimization"), 0, (NETWORKDAYS(C27,D27,Holidays!A$2:A$13))-1))</f>
        <v>0</v>
      </c>
      <c r="U27" s="53">
        <f>IF(OR(D27="", F27=""), "Error: Missing data", IF(OR(R27="Non-Publishing Tasks", R27="Mockup", R27="Principal Publisher Requests", R27="Ideas / Optimization"), 0, (NETWORKDAYS(D27,F27,Holidays!A$2:A$13))-1))</f>
        <v>0</v>
      </c>
      <c r="V27" s="53">
        <f>IF(OR(B27=""),"Error: Dates Required",IF(OR(E27=""),"0",IF(OR(R27="Non-Publishing Tasks",R27="Mockup",R27="Principal Publisher Requests",R27="Ideas / Optimization",R27="Maintenance"),0,(NETWORKDAYS(B27,E27,Holidays!A$2:A$13))-1)))</f>
        <v>1</v>
      </c>
      <c r="W27" s="54" t="b">
        <f>IF(OR(NOT(ISNUMBER(T27)), NOT(ISNUMBER(J27))), "Error: Missing data", T27&lt;=J27)</f>
        <v>1</v>
      </c>
    </row>
    <row r="28" spans="1:23">
      <c r="A28" t="s">
        <v>107</v>
      </c>
      <c r="B28" s="1">
        <v>45737</v>
      </c>
      <c r="C28" s="1">
        <v>45737</v>
      </c>
      <c r="D28" s="1">
        <v>45737</v>
      </c>
      <c r="E28" s="1">
        <v>45742</v>
      </c>
      <c r="F28" s="1">
        <v>45751</v>
      </c>
      <c r="G28" t="s">
        <v>73</v>
      </c>
      <c r="I28" t="s">
        <v>88</v>
      </c>
      <c r="J28">
        <v>3</v>
      </c>
      <c r="L28" t="s">
        <v>108</v>
      </c>
      <c r="N28">
        <v>4</v>
      </c>
      <c r="R28" t="s">
        <v>76</v>
      </c>
      <c r="S28" t="s">
        <v>109</v>
      </c>
      <c r="T28" s="53">
        <f>IF(OR(C28="", D28=""), "Error: Missing data", IF(OR(R28="Non-Publishing Tasks", R28="Mockup", R28="Principal Publisher Requests", R28="Ideas / Optimization"), 0, (NETWORKDAYS(C28,D28,Holidays!A$2:A$13))-1))</f>
        <v>0</v>
      </c>
      <c r="U28" s="53">
        <f>IF(OR(D28="", F28=""), "Error: Missing data", IF(OR(R28="Non-Publishing Tasks", R28="Mockup", R28="Principal Publisher Requests", R28="Ideas / Optimization"), 0, (NETWORKDAYS(D28,F28,Holidays!A$2:A$13))-1))</f>
        <v>10</v>
      </c>
      <c r="V28" s="53">
        <f>IF(OR(B28=""),"Error: Dates Required",IF(OR(E28=""),"0",IF(OR(R28="Non-Publishing Tasks",R28="Mockup",R28="Principal Publisher Requests",R28="Ideas / Optimization",R28="Maintenance"),0,(NETWORKDAYS(B28,E28,Holidays!A$2:A$13))-1)))</f>
        <v>3</v>
      </c>
      <c r="W28" s="54" t="b">
        <f>IF(OR(NOT(ISNUMBER(T28)), NOT(ISNUMBER(J28))), "Error: Missing data", T28&lt;=J28)</f>
        <v>1</v>
      </c>
    </row>
    <row r="29" spans="1:23">
      <c r="A29" t="s">
        <v>110</v>
      </c>
      <c r="B29" s="1">
        <v>45719</v>
      </c>
      <c r="C29" s="1">
        <v>45736</v>
      </c>
      <c r="D29" s="1">
        <v>45737</v>
      </c>
      <c r="E29" s="1">
        <v>45751</v>
      </c>
      <c r="F29" s="1">
        <v>45751</v>
      </c>
      <c r="G29" t="s">
        <v>73</v>
      </c>
      <c r="I29" t="s">
        <v>88</v>
      </c>
      <c r="J29">
        <v>3</v>
      </c>
      <c r="L29" t="s">
        <v>111</v>
      </c>
      <c r="N29">
        <v>36</v>
      </c>
      <c r="O29">
        <v>23</v>
      </c>
      <c r="Q29">
        <v>1</v>
      </c>
      <c r="R29" t="s">
        <v>112</v>
      </c>
      <c r="S29" t="s">
        <v>109</v>
      </c>
      <c r="T29" s="53">
        <f>IF(OR(C29="", D29=""), "Error: Missing data", IF(OR(R29="Non-Publishing Tasks", R29="Mockup", R29="Principal Publisher Requests", R29="Ideas / Optimization"), 0, (NETWORKDAYS(C29,D29,Holidays!A$2:A$13))-1))</f>
        <v>1</v>
      </c>
      <c r="U29" s="53">
        <f>IF(OR(D29="", F29=""), "Error: Missing data", IF(OR(R29="Non-Publishing Tasks", R29="Mockup", R29="Principal Publisher Requests", R29="Ideas / Optimization"), 0, (NETWORKDAYS(D29,F29,Holidays!A$2:A$13))-1))</f>
        <v>10</v>
      </c>
      <c r="V29" s="53">
        <f>IF(OR(B29=""),"Error: Dates Required",IF(OR(E29=""),"0",IF(OR(R29="Non-Publishing Tasks",R29="Mockup",R29="Principal Publisher Requests",R29="Ideas / Optimization",R29="Maintenance"),0,(NETWORKDAYS(B29,E29,Holidays!A$2:A$13))-1)))</f>
        <v>24</v>
      </c>
      <c r="W29" s="54" t="b">
        <f>IF(OR(NOT(ISNUMBER(T29)), NOT(ISNUMBER(J29))), "Error: Missing data", T29&lt;=J29)</f>
        <v>1</v>
      </c>
    </row>
    <row r="30" spans="1:23">
      <c r="A30" t="s">
        <v>114</v>
      </c>
      <c r="B30" s="1">
        <v>45748</v>
      </c>
      <c r="C30" s="1">
        <v>45754</v>
      </c>
      <c r="D30" s="1">
        <v>45754</v>
      </c>
      <c r="E30" s="1">
        <v>45754</v>
      </c>
      <c r="F30" s="1">
        <v>45754</v>
      </c>
      <c r="G30" t="s">
        <v>73</v>
      </c>
      <c r="I30" t="s">
        <v>74</v>
      </c>
      <c r="J30">
        <v>3</v>
      </c>
      <c r="L30" t="s">
        <v>115</v>
      </c>
      <c r="N30">
        <v>2</v>
      </c>
      <c r="R30" t="s">
        <v>76</v>
      </c>
      <c r="S30" t="s">
        <v>77</v>
      </c>
      <c r="T30" s="53">
        <f>IF(OR(C30="", D30=""), "Error: Missing data", IF(OR(R30="Non-Publishing Tasks", R30="Mockup", R30="Principal Publisher Requests", R30="Ideas / Optimization"), 0, (NETWORKDAYS(C30,D30,Holidays!A$2:A$13))-1))</f>
        <v>0</v>
      </c>
      <c r="U30" s="53">
        <f>IF(OR(D30="", F30=""), "Error: Missing data", IF(OR(R30="Non-Publishing Tasks", R30="Mockup", R30="Principal Publisher Requests", R30="Ideas / Optimization"), 0, (NETWORKDAYS(D30,F30,Holidays!A$2:A$13))-1))</f>
        <v>0</v>
      </c>
      <c r="V30" s="53">
        <f>IF(OR(B30=""),"Error: Dates Required",IF(OR(E30=""),"0",IF(OR(R30="Non-Publishing Tasks",R30="Mockup",R30="Principal Publisher Requests",R30="Ideas / Optimization",R30="Maintenance"),0,(NETWORKDAYS(B30,E30,Holidays!A$2:A$13))-1)))</f>
        <v>4</v>
      </c>
      <c r="W30" s="54" t="b">
        <f>IF(OR(NOT(ISNUMBER(T30)), NOT(ISNUMBER(J30))), "Error: Missing data", T30&lt;=J30)</f>
        <v>1</v>
      </c>
    </row>
    <row r="31" spans="1:23">
      <c r="A31" t="s">
        <v>117</v>
      </c>
      <c r="B31" s="1">
        <v>45184</v>
      </c>
      <c r="C31" s="1">
        <v>45183</v>
      </c>
      <c r="D31" s="1">
        <v>45184</v>
      </c>
      <c r="E31"/>
      <c r="F31" s="1">
        <v>45754</v>
      </c>
      <c r="G31" t="s">
        <v>73</v>
      </c>
      <c r="H31" t="s">
        <v>118</v>
      </c>
      <c r="I31" t="s">
        <v>88</v>
      </c>
      <c r="J31">
        <v>3</v>
      </c>
      <c r="L31" t="s">
        <v>80</v>
      </c>
      <c r="N31">
        <v>5</v>
      </c>
      <c r="R31" t="s">
        <v>76</v>
      </c>
      <c r="S31" t="s">
        <v>77</v>
      </c>
      <c r="T31" s="53">
        <f>IF(OR(C31="", D31=""), "Error: Missing data", IF(OR(R31="Non-Publishing Tasks", R31="Mockup", R31="Principal Publisher Requests", R31="Ideas / Optimization"), 0, (NETWORKDAYS(C31,D31,Holidays!A$2:A$13))-1))</f>
        <v>1</v>
      </c>
      <c r="U31" s="53">
        <f>IF(OR(D31="", F31=""), "Error: Missing data", IF(OR(R31="Non-Publishing Tasks", R31="Mockup", R31="Principal Publisher Requests", R31="Ideas / Optimization"), 0, (NETWORKDAYS(D31,F31,Holidays!A$2:A$13))-1))</f>
        <v>406</v>
      </c>
      <c r="V31" s="53" t="str">
        <f>IF(OR(B31=""),"Error: Dates Required",IF(OR(E31=""),"0",IF(OR(R31="Non-Publishing Tasks",R31="Mockup",R31="Principal Publisher Requests",R31="Ideas / Optimization",R31="Maintenance"),0,(NETWORKDAYS(B31,E31,Holidays!A$2:A$13))-1)))</f>
        <v>0</v>
      </c>
      <c r="W31" s="54" t="b">
        <f>IF(OR(NOT(ISNUMBER(T31)), NOT(ISNUMBER(J31))), "Error: Missing data", T31&lt;=J31)</f>
        <v>1</v>
      </c>
    </row>
    <row r="32" spans="1:23">
      <c r="A32" t="s">
        <v>124</v>
      </c>
      <c r="B32" s="1">
        <v>45736</v>
      </c>
      <c r="C32" s="1">
        <v>45737</v>
      </c>
      <c r="D32" s="1">
        <v>45741</v>
      </c>
      <c r="E32" s="1">
        <v>45740</v>
      </c>
      <c r="F32" s="1">
        <v>45755</v>
      </c>
      <c r="G32" t="s">
        <v>73</v>
      </c>
      <c r="H32" t="s">
        <v>101</v>
      </c>
      <c r="I32" t="s">
        <v>88</v>
      </c>
      <c r="J32">
        <v>3</v>
      </c>
      <c r="L32" t="s">
        <v>125</v>
      </c>
      <c r="M32">
        <v>2</v>
      </c>
      <c r="P32">
        <v>1</v>
      </c>
      <c r="R32" t="s">
        <v>126</v>
      </c>
      <c r="S32" t="s">
        <v>77</v>
      </c>
      <c r="T32" s="53">
        <f>IF(OR(C32="", D32=""), "Error: Missing data", IF(OR(R32="Non-Publishing Tasks", R32="Mockup", R32="Principal Publisher Requests", R32="Ideas / Optimization"), 0, (NETWORKDAYS(C32,D32,Holidays!A$2:A$13))-1))</f>
        <v>2</v>
      </c>
      <c r="U32" s="53">
        <f>IF(OR(D32="", F32=""), "Error: Missing data", IF(OR(R32="Non-Publishing Tasks", R32="Mockup", R32="Principal Publisher Requests", R32="Ideas / Optimization"), 0, (NETWORKDAYS(D32,F32,Holidays!A$2:A$13))-1))</f>
        <v>10</v>
      </c>
      <c r="V32" s="53">
        <f>IF(OR(B32=""),"Error: Dates Required",IF(OR(E32=""),"0",IF(OR(R32="Non-Publishing Tasks",R32="Mockup",R32="Principal Publisher Requests",R32="Ideas / Optimization",R32="Maintenance"),0,(NETWORKDAYS(B32,E32,Holidays!A$2:A$13))-1)))</f>
        <v>2</v>
      </c>
      <c r="W32" s="54" t="b">
        <f>IF(OR(NOT(ISNUMBER(T32)), NOT(ISNUMBER(J32))), "Error: Missing data", T32&lt;=J32)</f>
        <v>1</v>
      </c>
    </row>
    <row r="33" spans="1:23">
      <c r="A33" t="s">
        <v>72</v>
      </c>
      <c r="B33" s="1">
        <v>45748</v>
      </c>
      <c r="C33" s="1">
        <v>45756</v>
      </c>
      <c r="D33" s="1">
        <v>45756</v>
      </c>
      <c r="E33" s="1">
        <v>45756</v>
      </c>
      <c r="F33" s="1">
        <v>45757</v>
      </c>
      <c r="G33" t="s">
        <v>73</v>
      </c>
      <c r="I33" t="s">
        <v>74</v>
      </c>
      <c r="J33">
        <v>3</v>
      </c>
      <c r="L33" t="s">
        <v>136</v>
      </c>
      <c r="N33">
        <v>2</v>
      </c>
      <c r="P33">
        <v>4</v>
      </c>
      <c r="R33" t="s">
        <v>76</v>
      </c>
      <c r="S33" t="s">
        <v>77</v>
      </c>
      <c r="T33" s="53">
        <f>IF(OR(C33="", D33=""), "Error: Missing data", IF(OR(R33="Non-Publishing Tasks", R33="Mockup", R33="Principal Publisher Requests", R33="Ideas / Optimization"), 0, (NETWORKDAYS(C33,D33,Holidays!A$2:A$13))-1))</f>
        <v>0</v>
      </c>
      <c r="U33" s="53">
        <f>IF(OR(D33="", F33=""), "Error: Missing data", IF(OR(R33="Non-Publishing Tasks", R33="Mockup", R33="Principal Publisher Requests", R33="Ideas / Optimization"), 0, (NETWORKDAYS(D33,F33,Holidays!A$2:A$13))-1))</f>
        <v>1</v>
      </c>
      <c r="V33" s="53">
        <f>IF(OR(B33=""),"Error: Dates Required",IF(OR(E33=""),"0",IF(OR(R33="Non-Publishing Tasks",R33="Mockup",R33="Principal Publisher Requests",R33="Ideas / Optimization",R33="Maintenance"),0,(NETWORKDAYS(B33,E33,Holidays!A$2:A$13))-1)))</f>
        <v>6</v>
      </c>
      <c r="W33" s="54" t="b">
        <f>IF(OR(NOT(ISNUMBER(T33)), NOT(ISNUMBER(J33))), "Error: Missing data", T33&lt;=J33)</f>
        <v>1</v>
      </c>
    </row>
    <row r="34" spans="1:23">
      <c r="A34" t="s">
        <v>143</v>
      </c>
      <c r="B34" s="1">
        <v>45506</v>
      </c>
      <c r="C34" s="1">
        <v>45758</v>
      </c>
      <c r="D34" s="1">
        <v>45758</v>
      </c>
      <c r="E34"/>
      <c r="F34" s="1">
        <v>45758</v>
      </c>
      <c r="G34" t="s">
        <v>73</v>
      </c>
      <c r="I34" t="s">
        <v>128</v>
      </c>
      <c r="J34">
        <v>3</v>
      </c>
      <c r="L34" t="s">
        <v>144</v>
      </c>
      <c r="M34">
        <v>1</v>
      </c>
      <c r="R34" t="s">
        <v>121</v>
      </c>
      <c r="S34" t="s">
        <v>109</v>
      </c>
      <c r="T34" s="53">
        <f>IF(OR(C34="", D34=""), "Error: Missing data", IF(OR(R34="Non-Publishing Tasks", R34="Mockup", R34="Principal Publisher Requests", R34="Ideas / Optimization"), 0, (NETWORKDAYS(C34,D34,Holidays!A$2:A$13))-1))</f>
        <v>0</v>
      </c>
      <c r="U34" s="53">
        <f>IF(OR(D34="", F34=""), "Error: Missing data", IF(OR(R34="Non-Publishing Tasks", R34="Mockup", R34="Principal Publisher Requests", R34="Ideas / Optimization"), 0, (NETWORKDAYS(D34,F34,Holidays!A$2:A$13))-1))</f>
        <v>0</v>
      </c>
      <c r="V34" s="53" t="str">
        <f>IF(OR(B34=""),"Error: Dates Required",IF(OR(E34=""),"0",IF(OR(R34="Non-Publishing Tasks",R34="Mockup",R34="Principal Publisher Requests",R34="Ideas / Optimization",R34="Maintenance"),0,(NETWORKDAYS(B34,E34,Holidays!A$2:A$13))-1)))</f>
        <v>0</v>
      </c>
      <c r="W34" s="54" t="b">
        <f>IF(OR(NOT(ISNUMBER(T34)), NOT(ISNUMBER(J34))), "Error: Missing data", T34&lt;=J34)</f>
        <v>1</v>
      </c>
    </row>
    <row r="35" spans="1:23">
      <c r="A35" t="s">
        <v>145</v>
      </c>
      <c r="B35" s="1">
        <v>45447</v>
      </c>
      <c r="C35" s="1">
        <v>45450</v>
      </c>
      <c r="D35" s="1">
        <v>45453</v>
      </c>
      <c r="E35"/>
      <c r="F35" s="1">
        <v>45758</v>
      </c>
      <c r="G35" t="s">
        <v>73</v>
      </c>
      <c r="H35" t="s">
        <v>146</v>
      </c>
      <c r="I35" t="s">
        <v>128</v>
      </c>
      <c r="J35">
        <v>3</v>
      </c>
      <c r="L35" t="s">
        <v>147</v>
      </c>
      <c r="N35">
        <v>1</v>
      </c>
      <c r="R35" t="s">
        <v>121</v>
      </c>
      <c r="S35" t="s">
        <v>109</v>
      </c>
      <c r="T35" s="53">
        <f>IF(OR(C35="", D35=""), "Error: Missing data", IF(OR(R35="Non-Publishing Tasks", R35="Mockup", R35="Principal Publisher Requests", R35="Ideas / Optimization"), 0, (NETWORKDAYS(C35,D35,Holidays!A$2:A$13))-1))</f>
        <v>0</v>
      </c>
      <c r="U35" s="53">
        <f>IF(OR(D35="", F35=""), "Error: Missing data", IF(OR(R35="Non-Publishing Tasks", R35="Mockup", R35="Principal Publisher Requests", R35="Ideas / Optimization"), 0, (NETWORKDAYS(D35,F35,Holidays!A$2:A$13))-1))</f>
        <v>0</v>
      </c>
      <c r="V35" s="53" t="str">
        <f>IF(OR(B35=""),"Error: Dates Required",IF(OR(E35=""),"0",IF(OR(R35="Non-Publishing Tasks",R35="Mockup",R35="Principal Publisher Requests",R35="Ideas / Optimization",R35="Maintenance"),0,(NETWORKDAYS(B35,E35,Holidays!A$2:A$13))-1)))</f>
        <v>0</v>
      </c>
      <c r="W35" s="54" t="b">
        <f>IF(OR(NOT(ISNUMBER(T35)), NOT(ISNUMBER(J35))), "Error: Missing data", T35&lt;=J35)</f>
        <v>1</v>
      </c>
    </row>
    <row r="36" spans="1:23">
      <c r="A36" t="s">
        <v>148</v>
      </c>
      <c r="B36" s="1">
        <v>45755</v>
      </c>
      <c r="C36" s="1">
        <v>45757</v>
      </c>
      <c r="D36" s="1">
        <v>45757</v>
      </c>
      <c r="E36" s="1">
        <v>45758</v>
      </c>
      <c r="F36" s="1">
        <v>45758</v>
      </c>
      <c r="G36" t="s">
        <v>73</v>
      </c>
      <c r="H36" t="s">
        <v>97</v>
      </c>
      <c r="I36" t="s">
        <v>74</v>
      </c>
      <c r="J36">
        <v>3</v>
      </c>
      <c r="L36" t="s">
        <v>123</v>
      </c>
      <c r="N36">
        <v>4</v>
      </c>
      <c r="O36">
        <v>4</v>
      </c>
      <c r="R36" t="s">
        <v>76</v>
      </c>
      <c r="S36" t="s">
        <v>77</v>
      </c>
      <c r="T36" s="53">
        <f>IF(OR(C36="", D36=""), "Error: Missing data", IF(OR(R36="Non-Publishing Tasks", R36="Mockup", R36="Principal Publisher Requests", R36="Ideas / Optimization"), 0, (NETWORKDAYS(C36,D36,Holidays!A$2:A$13))-1))</f>
        <v>0</v>
      </c>
      <c r="U36" s="53">
        <f>IF(OR(D36="", F36=""), "Error: Missing data", IF(OR(R36="Non-Publishing Tasks", R36="Mockup", R36="Principal Publisher Requests", R36="Ideas / Optimization"), 0, (NETWORKDAYS(D36,F36,Holidays!A$2:A$13))-1))</f>
        <v>1</v>
      </c>
      <c r="V36" s="53">
        <f>IF(OR(B36=""),"Error: Dates Required",IF(OR(E36=""),"0",IF(OR(R36="Non-Publishing Tasks",R36="Mockup",R36="Principal Publisher Requests",R36="Ideas / Optimization",R36="Maintenance"),0,(NETWORKDAYS(B36,E36,Holidays!A$2:A$13))-1)))</f>
        <v>3</v>
      </c>
      <c r="W36" s="54" t="b">
        <f>IF(OR(NOT(ISNUMBER(T36)), NOT(ISNUMBER(J36))), "Error: Missing data", T36&lt;=J36)</f>
        <v>1</v>
      </c>
    </row>
    <row r="37" spans="1:23">
      <c r="A37" t="s">
        <v>149</v>
      </c>
      <c r="B37" s="1">
        <v>45426</v>
      </c>
      <c r="C37" s="1">
        <v>45427</v>
      </c>
      <c r="D37" s="1">
        <v>45428</v>
      </c>
      <c r="E37"/>
      <c r="F37" s="1">
        <v>45758</v>
      </c>
      <c r="G37" t="s">
        <v>73</v>
      </c>
      <c r="I37" t="s">
        <v>128</v>
      </c>
      <c r="J37">
        <v>10</v>
      </c>
      <c r="L37" s="5" t="s">
        <v>180</v>
      </c>
      <c r="R37" t="s">
        <v>121</v>
      </c>
      <c r="T37" s="53">
        <f>IF(OR(C37="", D37=""), "Error: Missing data", IF(OR(R37="Non-Publishing Tasks", R37="Mockup", R37="Principal Publisher Requests", R37="Ideas / Optimization"), 0, (NETWORKDAYS(C37,D37,Holidays!A$2:A$13))-1))</f>
        <v>0</v>
      </c>
      <c r="U37" s="53">
        <f>IF(OR(D37="", F37=""), "Error: Missing data", IF(OR(R37="Non-Publishing Tasks", R37="Mockup", R37="Principal Publisher Requests", R37="Ideas / Optimization"), 0, (NETWORKDAYS(D37,F37,Holidays!A$2:A$13))-1))</f>
        <v>0</v>
      </c>
      <c r="V37" s="53" t="str">
        <f>IF(OR(B37=""),"Error: Dates Required",IF(OR(E37=""),"0",IF(OR(R37="Non-Publishing Tasks",R37="Mockup",R37="Principal Publisher Requests",R37="Ideas / Optimization",R37="Maintenance"),0,(NETWORKDAYS(B37,E37,Holidays!A$2:A$13))-1)))</f>
        <v>0</v>
      </c>
      <c r="W37" s="54" t="b">
        <f>IF(OR(NOT(ISNUMBER(T37)), NOT(ISNUMBER(J37))), "Error: Missing data", T37&lt;=J37)</f>
        <v>1</v>
      </c>
    </row>
    <row r="38" spans="1:23">
      <c r="A38" t="s">
        <v>151</v>
      </c>
      <c r="B38" s="1">
        <v>45737</v>
      </c>
      <c r="C38" s="1">
        <v>45761</v>
      </c>
      <c r="D38" s="1">
        <v>45761</v>
      </c>
      <c r="E38" s="1">
        <v>45761</v>
      </c>
      <c r="F38" s="1">
        <v>45761</v>
      </c>
      <c r="G38" t="s">
        <v>73</v>
      </c>
      <c r="I38" t="s">
        <v>74</v>
      </c>
      <c r="J38">
        <v>3</v>
      </c>
      <c r="L38" t="s">
        <v>152</v>
      </c>
      <c r="N38">
        <v>8</v>
      </c>
      <c r="P38">
        <v>4</v>
      </c>
      <c r="R38" t="s">
        <v>89</v>
      </c>
      <c r="S38" t="s">
        <v>77</v>
      </c>
      <c r="T38" s="53">
        <f>IF(OR(C38="", D38=""), "Error: Missing data", IF(OR(R38="Non-Publishing Tasks", R38="Mockup", R38="Principal Publisher Requests", R38="Ideas / Optimization"), 0, (NETWORKDAYS(C38,D38,Holidays!A$2:A$13))-1))</f>
        <v>0</v>
      </c>
      <c r="U38" s="53">
        <f>IF(OR(D38="", F38=""), "Error: Missing data", IF(OR(R38="Non-Publishing Tasks", R38="Mockup", R38="Principal Publisher Requests", R38="Ideas / Optimization"), 0, (NETWORKDAYS(D38,F38,Holidays!A$2:A$13))-1))</f>
        <v>0</v>
      </c>
      <c r="V38" s="53">
        <f>IF(OR(B38=""),"Error: Dates Required",IF(OR(E38=""),"0",IF(OR(R38="Non-Publishing Tasks",R38="Mockup",R38="Principal Publisher Requests",R38="Ideas / Optimization",R38="Maintenance"),0,(NETWORKDAYS(B38,E38,Holidays!A$2:A$13))-1)))</f>
        <v>16</v>
      </c>
      <c r="W38" s="54" t="b">
        <f>IF(OR(NOT(ISNUMBER(T38)), NOT(ISNUMBER(J38))), "Error: Missing data", T38&lt;=J38)</f>
        <v>1</v>
      </c>
    </row>
    <row r="39" spans="1:23">
      <c r="A39" t="s">
        <v>114</v>
      </c>
      <c r="B39" s="1">
        <v>45754</v>
      </c>
      <c r="C39" s="1">
        <v>45762</v>
      </c>
      <c r="D39" s="1">
        <v>45762</v>
      </c>
      <c r="E39" s="1">
        <v>45761</v>
      </c>
      <c r="F39" s="1">
        <v>45762</v>
      </c>
      <c r="G39" t="s">
        <v>73</v>
      </c>
      <c r="I39" t="s">
        <v>74</v>
      </c>
      <c r="J39">
        <v>3</v>
      </c>
      <c r="L39" t="s">
        <v>115</v>
      </c>
      <c r="N39">
        <v>2</v>
      </c>
      <c r="R39" t="s">
        <v>76</v>
      </c>
      <c r="S39" t="s">
        <v>77</v>
      </c>
      <c r="T39" s="53">
        <f>IF(OR(C39="", D39=""), "Error: Missing data", IF(OR(R39="Non-Publishing Tasks", R39="Mockup", R39="Principal Publisher Requests", R39="Ideas / Optimization"), 0, (NETWORKDAYS(C39,D39,Holidays!A$2:A$13))-1))</f>
        <v>0</v>
      </c>
      <c r="U39" s="53">
        <f>IF(OR(D39="", F39=""), "Error: Missing data", IF(OR(R39="Non-Publishing Tasks", R39="Mockup", R39="Principal Publisher Requests", R39="Ideas / Optimization"), 0, (NETWORKDAYS(D39,F39,Holidays!A$2:A$13))-1))</f>
        <v>0</v>
      </c>
      <c r="V39" s="53">
        <f>IF(OR(B39=""),"Error: Dates Required",IF(OR(E39=""),"0",IF(OR(R39="Non-Publishing Tasks",R39="Mockup",R39="Principal Publisher Requests",R39="Ideas / Optimization",R39="Maintenance"),0,(NETWORKDAYS(B39,E39,Holidays!A$2:A$13))-1)))</f>
        <v>5</v>
      </c>
      <c r="W39" s="54" t="b">
        <f>IF(OR(NOT(ISNUMBER(T39)), NOT(ISNUMBER(J39))), "Error: Missing data", T39&lt;=J39)</f>
        <v>1</v>
      </c>
    </row>
    <row r="40" spans="1:23">
      <c r="A40" t="s">
        <v>157</v>
      </c>
      <c r="B40" s="1">
        <v>45758</v>
      </c>
      <c r="C40" s="1">
        <v>45758</v>
      </c>
      <c r="D40" s="1">
        <v>45758</v>
      </c>
      <c r="E40" s="1">
        <v>45761</v>
      </c>
      <c r="F40" s="1">
        <v>45762</v>
      </c>
      <c r="G40" t="s">
        <v>73</v>
      </c>
      <c r="I40" t="s">
        <v>74</v>
      </c>
      <c r="J40">
        <v>3</v>
      </c>
      <c r="L40" t="s">
        <v>80</v>
      </c>
      <c r="N40">
        <v>4</v>
      </c>
      <c r="P40">
        <v>2</v>
      </c>
      <c r="R40" t="s">
        <v>89</v>
      </c>
      <c r="S40" t="s">
        <v>77</v>
      </c>
      <c r="T40" s="53">
        <f>IF(OR(C40="", D40=""), "Error: Missing data", IF(OR(R40="Non-Publishing Tasks", R40="Mockup", R40="Principal Publisher Requests", R40="Ideas / Optimization"), 0, (NETWORKDAYS(C40,D40,Holidays!A$2:A$13))-1))</f>
        <v>0</v>
      </c>
      <c r="U40" s="53">
        <f>IF(OR(D40="", F40=""), "Error: Missing data", IF(OR(R40="Non-Publishing Tasks", R40="Mockup", R40="Principal Publisher Requests", R40="Ideas / Optimization"), 0, (NETWORKDAYS(D40,F40,Holidays!A$2:A$13))-1))</f>
        <v>2</v>
      </c>
      <c r="V40" s="53">
        <f>IF(OR(B40=""),"Error: Dates Required",IF(OR(E40=""),"0",IF(OR(R40="Non-Publishing Tasks",R40="Mockup",R40="Principal Publisher Requests",R40="Ideas / Optimization",R40="Maintenance"),0,(NETWORKDAYS(B40,E40,Holidays!A$2:A$13))-1)))</f>
        <v>1</v>
      </c>
      <c r="W40" s="54" t="b">
        <f>IF(OR(NOT(ISNUMBER(T40)), NOT(ISNUMBER(J40))), "Error: Missing data", T40&lt;=J40)</f>
        <v>1</v>
      </c>
    </row>
    <row r="41" spans="1:23">
      <c r="A41" t="s">
        <v>159</v>
      </c>
      <c r="B41" s="1">
        <v>45762</v>
      </c>
      <c r="C41" s="1">
        <v>45762</v>
      </c>
      <c r="D41" s="1">
        <v>45762</v>
      </c>
      <c r="E41" s="1">
        <v>45763</v>
      </c>
      <c r="F41" s="1">
        <v>45763</v>
      </c>
      <c r="G41" t="s">
        <v>73</v>
      </c>
      <c r="H41" t="s">
        <v>97</v>
      </c>
      <c r="I41" t="s">
        <v>88</v>
      </c>
      <c r="J41">
        <v>3</v>
      </c>
      <c r="L41" t="s">
        <v>160</v>
      </c>
      <c r="N41">
        <v>8</v>
      </c>
      <c r="R41" t="s">
        <v>76</v>
      </c>
      <c r="S41" t="s">
        <v>77</v>
      </c>
      <c r="T41" s="53">
        <f>IF(OR(C41="", D41=""), "Error: Missing data", IF(OR(R41="Non-Publishing Tasks", R41="Mockup", R41="Principal Publisher Requests", R41="Ideas / Optimization"), 0, (NETWORKDAYS(C41,D41,Holidays!A$2:A$13))-1))</f>
        <v>0</v>
      </c>
      <c r="U41" s="53">
        <f>IF(OR(D41="", F41=""), "Error: Missing data", IF(OR(R41="Non-Publishing Tasks", R41="Mockup", R41="Principal Publisher Requests", R41="Ideas / Optimization"), 0, (NETWORKDAYS(D41,F41,Holidays!A$2:A$13))-1))</f>
        <v>1</v>
      </c>
      <c r="V41" s="53">
        <f>IF(OR(B41=""),"Error: Dates Required",IF(OR(E41=""),"0",IF(OR(R41="Non-Publishing Tasks",R41="Mockup",R41="Principal Publisher Requests",R41="Ideas / Optimization",R41="Maintenance"),0,(NETWORKDAYS(B41,E41,Holidays!A$2:A$13))-1)))</f>
        <v>1</v>
      </c>
      <c r="W41" s="54" t="b">
        <f>IF(OR(NOT(ISNUMBER(T41)), NOT(ISNUMBER(J41))), "Error: Missing data", T41&lt;=J41)</f>
        <v>1</v>
      </c>
    </row>
    <row r="42" spans="1:23">
      <c r="A42" t="s">
        <v>161</v>
      </c>
      <c r="B42" s="1">
        <v>45761</v>
      </c>
      <c r="C42" s="1">
        <v>45761</v>
      </c>
      <c r="D42" s="1">
        <v>45761</v>
      </c>
      <c r="E42" s="1">
        <v>45761</v>
      </c>
      <c r="F42" s="1">
        <v>45763</v>
      </c>
      <c r="G42" t="s">
        <v>73</v>
      </c>
      <c r="I42" t="s">
        <v>88</v>
      </c>
      <c r="J42">
        <v>3</v>
      </c>
      <c r="L42" t="s">
        <v>162</v>
      </c>
      <c r="N42">
        <v>2</v>
      </c>
      <c r="R42" t="s">
        <v>95</v>
      </c>
      <c r="S42" t="s">
        <v>77</v>
      </c>
      <c r="T42" s="53">
        <f>IF(OR(C42="", D42=""), "Error: Missing data", IF(OR(R42="Non-Publishing Tasks", R42="Mockup", R42="Principal Publisher Requests", R42="Ideas / Optimization"), 0, (NETWORKDAYS(C42,D42,Holidays!A$2:A$13))-1))</f>
        <v>0</v>
      </c>
      <c r="U42" s="53">
        <f>IF(OR(D42="", F42=""), "Error: Missing data", IF(OR(R42="Non-Publishing Tasks", R42="Mockup", R42="Principal Publisher Requests", R42="Ideas / Optimization"), 0, (NETWORKDAYS(D42,F42,Holidays!A$2:A$13))-1))</f>
        <v>2</v>
      </c>
      <c r="V42" s="53">
        <f>IF(OR(B42=""),"Error: Dates Required",IF(OR(E42=""),"0",IF(OR(R42="Non-Publishing Tasks",R42="Mockup",R42="Principal Publisher Requests",R42="Ideas / Optimization",R42="Maintenance"),0,(NETWORKDAYS(B42,E42,Holidays!A$2:A$13))-1)))</f>
        <v>0</v>
      </c>
      <c r="W42" s="54" t="b">
        <f>IF(OR(NOT(ISNUMBER(T42)), NOT(ISNUMBER(J42))), "Error: Missing data", T42&lt;=J42)</f>
        <v>1</v>
      </c>
    </row>
    <row r="43" spans="1:23">
      <c r="A43" t="s">
        <v>72</v>
      </c>
      <c r="B43" s="1">
        <v>45757</v>
      </c>
      <c r="C43" s="1">
        <v>45762</v>
      </c>
      <c r="D43" s="1">
        <v>45762</v>
      </c>
      <c r="E43" s="1">
        <v>45763</v>
      </c>
      <c r="F43" s="1">
        <v>45763</v>
      </c>
      <c r="G43" t="s">
        <v>73</v>
      </c>
      <c r="I43" t="s">
        <v>74</v>
      </c>
      <c r="J43">
        <v>3</v>
      </c>
      <c r="L43" t="s">
        <v>136</v>
      </c>
      <c r="N43">
        <v>2</v>
      </c>
      <c r="P43">
        <v>4</v>
      </c>
      <c r="R43" t="s">
        <v>76</v>
      </c>
      <c r="S43" t="s">
        <v>77</v>
      </c>
      <c r="T43" s="53">
        <f>IF(OR(C43="", D43=""), "Error: Missing data", IF(OR(R43="Non-Publishing Tasks", R43="Mockup", R43="Principal Publisher Requests", R43="Ideas / Optimization"), 0, (NETWORKDAYS(C43,D43,Holidays!A$2:A$13))-1))</f>
        <v>0</v>
      </c>
      <c r="U43" s="53">
        <f>IF(OR(D43="", F43=""), "Error: Missing data", IF(OR(R43="Non-Publishing Tasks", R43="Mockup", R43="Principal Publisher Requests", R43="Ideas / Optimization"), 0, (NETWORKDAYS(D43,F43,Holidays!A$2:A$13))-1))</f>
        <v>1</v>
      </c>
      <c r="V43" s="53">
        <f>IF(OR(B43=""),"Error: Dates Required",IF(OR(E43=""),"0",IF(OR(R43="Non-Publishing Tasks",R43="Mockup",R43="Principal Publisher Requests",R43="Ideas / Optimization",R43="Maintenance"),0,(NETWORKDAYS(B43,E43,Holidays!A$2:A$13))-1)))</f>
        <v>4</v>
      </c>
      <c r="W43" s="54" t="b">
        <f>IF(OR(NOT(ISNUMBER(T43)), NOT(ISNUMBER(J43))), "Error: Missing data", T43&lt;=J43)</f>
        <v>1</v>
      </c>
    </row>
    <row r="44" spans="1:23">
      <c r="A44" t="s">
        <v>163</v>
      </c>
      <c r="B44" s="1">
        <v>45730</v>
      </c>
      <c r="C44" s="1">
        <v>45754</v>
      </c>
      <c r="D44" s="1">
        <v>45764</v>
      </c>
      <c r="E44" s="1">
        <v>45755</v>
      </c>
      <c r="F44" s="1">
        <v>45764</v>
      </c>
      <c r="G44" t="s">
        <v>73</v>
      </c>
      <c r="I44" t="s">
        <v>88</v>
      </c>
      <c r="J44">
        <v>10</v>
      </c>
      <c r="L44" t="s">
        <v>164</v>
      </c>
      <c r="O44">
        <v>4</v>
      </c>
      <c r="Q44">
        <v>1348</v>
      </c>
      <c r="R44" t="s">
        <v>112</v>
      </c>
      <c r="S44" t="s">
        <v>109</v>
      </c>
      <c r="T44" s="53">
        <f>IF(OR(C44="", D44=""), "Error: Missing data", IF(OR(R44="Non-Publishing Tasks", R44="Mockup", R44="Principal Publisher Requests", R44="Ideas / Optimization"), 0, (NETWORKDAYS(C44,D44,Holidays!A$2:A$13))-1))</f>
        <v>8</v>
      </c>
      <c r="U44" s="53">
        <f>IF(OR(D44="", F44=""), "Error: Missing data", IF(OR(R44="Non-Publishing Tasks", R44="Mockup", R44="Principal Publisher Requests", R44="Ideas / Optimization"), 0, (NETWORKDAYS(D44,F44,Holidays!A$2:A$13))-1))</f>
        <v>0</v>
      </c>
      <c r="V44" s="53">
        <f>IF(OR(B44=""),"Error: Dates Required",IF(OR(E44=""),"0",IF(OR(R44="Non-Publishing Tasks",R44="Mockup",R44="Principal Publisher Requests",R44="Ideas / Optimization",R44="Maintenance"),0,(NETWORKDAYS(B44,E44,Holidays!A$2:A$13))-1)))</f>
        <v>17</v>
      </c>
      <c r="W44" s="54" t="b">
        <f>IF(OR(NOT(ISNUMBER(T44)), NOT(ISNUMBER(J44))), "Error: Missing data", T44&lt;=J44)</f>
        <v>1</v>
      </c>
    </row>
    <row r="45" spans="1:23">
      <c r="A45" t="s">
        <v>165</v>
      </c>
      <c r="B45" s="1">
        <v>45762</v>
      </c>
      <c r="C45" s="1">
        <v>45762</v>
      </c>
      <c r="D45" s="1">
        <v>45762</v>
      </c>
      <c r="E45"/>
      <c r="F45" s="1">
        <v>45764</v>
      </c>
      <c r="G45" t="s">
        <v>73</v>
      </c>
      <c r="I45" t="s">
        <v>128</v>
      </c>
      <c r="J45">
        <v>3</v>
      </c>
      <c r="L45" t="s">
        <v>166</v>
      </c>
      <c r="R45" t="s">
        <v>129</v>
      </c>
      <c r="S45" t="s">
        <v>109</v>
      </c>
      <c r="T45" s="53">
        <f>IF(OR(C45="", D45=""), "Error: Missing data", IF(OR(R45="Non-Publishing Tasks", R45="Mockup", R45="Principal Publisher Requests", R45="Ideas / Optimization"), 0, (NETWORKDAYS(C45,D45,Holidays!A$2:A$13))-1))</f>
        <v>0</v>
      </c>
      <c r="U45" s="53">
        <f>IF(OR(D45="", F45=""), "Error: Missing data", IF(OR(R45="Non-Publishing Tasks", R45="Mockup", R45="Principal Publisher Requests", R45="Ideas / Optimization"), 0, (NETWORKDAYS(D45,F45,Holidays!A$2:A$13))-1))</f>
        <v>2</v>
      </c>
      <c r="V45" s="53" t="str">
        <f>IF(OR(B45=""),"Error: Dates Required",IF(OR(E45=""),"0",IF(OR(R45="Non-Publishing Tasks",R45="Mockup",R45="Principal Publisher Requests",R45="Ideas / Optimization",R45="Maintenance"),0,(NETWORKDAYS(B45,E45,Holidays!A$2:A$13))-1)))</f>
        <v>0</v>
      </c>
      <c r="W45" s="54" t="b">
        <f>IF(OR(NOT(ISNUMBER(T45)), NOT(ISNUMBER(J45))), "Error: Missing data", T45&lt;=J45)</f>
        <v>1</v>
      </c>
    </row>
    <row r="46" spans="1:23">
      <c r="A46" t="s">
        <v>167</v>
      </c>
      <c r="B46" s="1">
        <v>45763</v>
      </c>
      <c r="C46" s="1">
        <v>45763</v>
      </c>
      <c r="D46" s="1">
        <v>45763</v>
      </c>
      <c r="E46" s="1">
        <v>45763</v>
      </c>
      <c r="F46" s="1">
        <v>45764</v>
      </c>
      <c r="G46" t="s">
        <v>73</v>
      </c>
      <c r="I46" t="s">
        <v>74</v>
      </c>
      <c r="J46">
        <v>3</v>
      </c>
      <c r="L46" t="s">
        <v>123</v>
      </c>
      <c r="N46">
        <v>2</v>
      </c>
      <c r="R46" t="s">
        <v>76</v>
      </c>
      <c r="S46" t="s">
        <v>77</v>
      </c>
      <c r="T46" s="53">
        <f>IF(OR(C46="", D46=""), "Error: Missing data", IF(OR(R46="Non-Publishing Tasks", R46="Mockup", R46="Principal Publisher Requests", R46="Ideas / Optimization"), 0, (NETWORKDAYS(C46,D46,Holidays!A$2:A$13))-1))</f>
        <v>0</v>
      </c>
      <c r="U46" s="53">
        <f>IF(OR(D46="", F46=""), "Error: Missing data", IF(OR(R46="Non-Publishing Tasks", R46="Mockup", R46="Principal Publisher Requests", R46="Ideas / Optimization"), 0, (NETWORKDAYS(D46,F46,Holidays!A$2:A$13))-1))</f>
        <v>1</v>
      </c>
      <c r="V46" s="53">
        <f>IF(OR(B46=""),"Error: Dates Required",IF(OR(E46=""),"0",IF(OR(R46="Non-Publishing Tasks",R46="Mockup",R46="Principal Publisher Requests",R46="Ideas / Optimization",R46="Maintenance"),0,(NETWORKDAYS(B46,E46,Holidays!A$2:A$13))-1)))</f>
        <v>0</v>
      </c>
      <c r="W46" s="54" t="b">
        <f>IF(OR(NOT(ISNUMBER(T46)), NOT(ISNUMBER(J46))), "Error: Missing data", T46&lt;=J46)</f>
        <v>1</v>
      </c>
    </row>
    <row r="47" spans="1:23">
      <c r="A47" t="s">
        <v>169</v>
      </c>
      <c r="B47" s="1">
        <v>45768</v>
      </c>
      <c r="C47" s="1">
        <v>45769</v>
      </c>
      <c r="D47" s="1">
        <v>45769</v>
      </c>
      <c r="E47" s="1">
        <v>45771</v>
      </c>
      <c r="F47" s="1">
        <v>45769</v>
      </c>
      <c r="G47" t="s">
        <v>73</v>
      </c>
      <c r="I47" t="s">
        <v>88</v>
      </c>
      <c r="J47">
        <v>3</v>
      </c>
      <c r="L47" t="s">
        <v>164</v>
      </c>
      <c r="N47">
        <v>12</v>
      </c>
      <c r="O47">
        <v>2</v>
      </c>
      <c r="Q47">
        <v>2</v>
      </c>
      <c r="R47" t="s">
        <v>112</v>
      </c>
      <c r="S47" t="s">
        <v>109</v>
      </c>
      <c r="T47" s="53">
        <f>IF(OR(C47="", D47=""), "Error: Missing data", IF(OR(R47="Non-Publishing Tasks", R47="Mockup", R47="Principal Publisher Requests", R47="Ideas / Optimization"), 0, (NETWORKDAYS(C47,D47,Holidays!A$2:A$13))-1))</f>
        <v>0</v>
      </c>
      <c r="U47" s="53">
        <f>IF(OR(D47="", F47=""), "Error: Missing data", IF(OR(R47="Non-Publishing Tasks", R47="Mockup", R47="Principal Publisher Requests", R47="Ideas / Optimization"), 0, (NETWORKDAYS(D47,F47,Holidays!A$2:A$13))-1))</f>
        <v>0</v>
      </c>
      <c r="V47" s="53">
        <f>IF(OR(B47=""),"Error: Dates Required",IF(OR(E47=""),"0",IF(OR(R47="Non-Publishing Tasks",R47="Mockup",R47="Principal Publisher Requests",R47="Ideas / Optimization",R47="Maintenance"),0,(NETWORKDAYS(B47,E47,Holidays!A$2:A$13))-1)))</f>
        <v>3</v>
      </c>
      <c r="W47" s="54" t="b">
        <f>IF(OR(NOT(ISNUMBER(T47)), NOT(ISNUMBER(J47))), "Error: Missing data", T47&lt;=J47)</f>
        <v>1</v>
      </c>
    </row>
    <row r="48" spans="1:23">
      <c r="A48" t="s">
        <v>172</v>
      </c>
      <c r="B48" s="1">
        <v>45762</v>
      </c>
      <c r="C48" s="1">
        <v>45762</v>
      </c>
      <c r="D48" s="1">
        <v>45762</v>
      </c>
      <c r="E48" s="1">
        <v>45762</v>
      </c>
      <c r="F48" s="1">
        <v>45770</v>
      </c>
      <c r="G48" t="s">
        <v>73</v>
      </c>
      <c r="H48" t="s">
        <v>97</v>
      </c>
      <c r="I48" t="s">
        <v>74</v>
      </c>
      <c r="J48">
        <v>3</v>
      </c>
      <c r="L48" t="s">
        <v>80</v>
      </c>
      <c r="N48">
        <v>5</v>
      </c>
      <c r="R48" t="s">
        <v>76</v>
      </c>
      <c r="S48" t="s">
        <v>77</v>
      </c>
      <c r="T48" s="53">
        <f>IF(OR(C48="", D48=""), "Error: Missing data", IF(OR(R48="Non-Publishing Tasks", R48="Mockup", R48="Principal Publisher Requests", R48="Ideas / Optimization"), 0, (NETWORKDAYS(C48,D48,Holidays!A$2:A$13))-1))</f>
        <v>0</v>
      </c>
      <c r="U48" s="53">
        <f>IF(OR(D48="", F48=""), "Error: Missing data", IF(OR(R48="Non-Publishing Tasks", R48="Mockup", R48="Principal Publisher Requests", R48="Ideas / Optimization"), 0, (NETWORKDAYS(D48,F48,Holidays!A$2:A$13))-1))</f>
        <v>6</v>
      </c>
      <c r="V48" s="53">
        <f>IF(OR(B48=""),"Error: Dates Required",IF(OR(E48=""),"0",IF(OR(R48="Non-Publishing Tasks",R48="Mockup",R48="Principal Publisher Requests",R48="Ideas / Optimization",R48="Maintenance"),0,(NETWORKDAYS(B48,E48,Holidays!A$2:A$13))-1)))</f>
        <v>0</v>
      </c>
      <c r="W48" s="54" t="b">
        <f>IF(OR(NOT(ISNUMBER(T48)), NOT(ISNUMBER(J48))), "Error: Missing data", T48&lt;=J48)</f>
        <v>1</v>
      </c>
    </row>
    <row r="49" spans="1:23">
      <c r="A49" t="s">
        <v>72</v>
      </c>
      <c r="B49" s="1">
        <v>45763</v>
      </c>
      <c r="C49" s="1">
        <v>45770</v>
      </c>
      <c r="D49" s="1">
        <v>45770</v>
      </c>
      <c r="E49" s="1">
        <v>45770</v>
      </c>
      <c r="F49" s="1">
        <v>45770</v>
      </c>
      <c r="G49" t="s">
        <v>73</v>
      </c>
      <c r="I49" t="s">
        <v>74</v>
      </c>
      <c r="J49">
        <v>3</v>
      </c>
      <c r="L49" t="s">
        <v>136</v>
      </c>
      <c r="N49">
        <v>2</v>
      </c>
      <c r="P49">
        <v>4</v>
      </c>
      <c r="R49" t="s">
        <v>76</v>
      </c>
      <c r="S49" t="s">
        <v>77</v>
      </c>
      <c r="T49" s="53">
        <f>IF(OR(C49="", D49=""), "Error: Missing data", IF(OR(R49="Non-Publishing Tasks", R49="Mockup", R49="Principal Publisher Requests", R49="Ideas / Optimization"), 0, (NETWORKDAYS(C49,D49,Holidays!A$2:A$13))-1))</f>
        <v>0</v>
      </c>
      <c r="U49" s="53">
        <f>IF(OR(D49="", F49=""), "Error: Missing data", IF(OR(R49="Non-Publishing Tasks", R49="Mockup", R49="Principal Publisher Requests", R49="Ideas / Optimization"), 0, (NETWORKDAYS(D49,F49,Holidays!A$2:A$13))-1))</f>
        <v>0</v>
      </c>
      <c r="V49" s="53">
        <f>IF(OR(B49=""),"Error: Dates Required",IF(OR(E49=""),"0",IF(OR(R49="Non-Publishing Tasks",R49="Mockup",R49="Principal Publisher Requests",R49="Ideas / Optimization",R49="Maintenance"),0,(NETWORKDAYS(B49,E49,Holidays!A$2:A$13))-1)))</f>
        <v>5</v>
      </c>
      <c r="W49" s="54" t="b">
        <f>IF(OR(NOT(ISNUMBER(T49)), NOT(ISNUMBER(J49))), "Error: Missing data", T49&lt;=J49)</f>
        <v>1</v>
      </c>
    </row>
    <row r="50" spans="1:23">
      <c r="A50" t="s">
        <v>173</v>
      </c>
      <c r="B50" s="1">
        <v>45770</v>
      </c>
      <c r="C50" s="1">
        <v>45770</v>
      </c>
      <c r="D50" s="1">
        <v>45770</v>
      </c>
      <c r="E50" s="1">
        <v>45772</v>
      </c>
      <c r="F50" s="1">
        <v>45771</v>
      </c>
      <c r="G50" t="s">
        <v>73</v>
      </c>
      <c r="H50" t="s">
        <v>97</v>
      </c>
      <c r="I50" t="s">
        <v>88</v>
      </c>
      <c r="J50">
        <v>3</v>
      </c>
      <c r="L50" t="s">
        <v>174</v>
      </c>
      <c r="N50">
        <v>5</v>
      </c>
      <c r="R50" t="s">
        <v>76</v>
      </c>
      <c r="S50" t="s">
        <v>77</v>
      </c>
      <c r="T50" s="53">
        <f>IF(OR(C50="", D50=""), "Error: Missing data", IF(OR(R50="Non-Publishing Tasks", R50="Mockup", R50="Principal Publisher Requests", R50="Ideas / Optimization"), 0, (NETWORKDAYS(C50,D50,Holidays!A$2:A$13))-1))</f>
        <v>0</v>
      </c>
      <c r="U50" s="53">
        <f>IF(OR(D50="", F50=""), "Error: Missing data", IF(OR(R50="Non-Publishing Tasks", R50="Mockup", R50="Principal Publisher Requests", R50="Ideas / Optimization"), 0, (NETWORKDAYS(D50,F50,Holidays!A$2:A$13))-1))</f>
        <v>1</v>
      </c>
      <c r="V50" s="53">
        <f>IF(OR(B50=""),"Error: Dates Required",IF(OR(E50=""),"0",IF(OR(R50="Non-Publishing Tasks",R50="Mockup",R50="Principal Publisher Requests",R50="Ideas / Optimization",R50="Maintenance"),0,(NETWORKDAYS(B50,E50,Holidays!A$2:A$13))-1)))</f>
        <v>2</v>
      </c>
      <c r="W50" s="54" t="b">
        <f>IF(OR(NOT(ISNUMBER(T50)), NOT(ISNUMBER(J50))), "Error: Missing data", T50&lt;=J50)</f>
        <v>1</v>
      </c>
    </row>
    <row r="51" spans="1:23">
      <c r="A51" t="s">
        <v>175</v>
      </c>
      <c r="B51" s="1">
        <v>45771</v>
      </c>
      <c r="C51" s="1">
        <v>45771</v>
      </c>
      <c r="D51" s="1">
        <v>45771</v>
      </c>
      <c r="E51"/>
      <c r="F51" s="1">
        <v>45771</v>
      </c>
      <c r="G51" t="s">
        <v>73</v>
      </c>
      <c r="I51" t="s">
        <v>88</v>
      </c>
      <c r="J51">
        <v>3</v>
      </c>
      <c r="L51" t="s">
        <v>176</v>
      </c>
      <c r="N51">
        <v>2</v>
      </c>
      <c r="R51" t="s">
        <v>129</v>
      </c>
      <c r="S51" t="s">
        <v>77</v>
      </c>
      <c r="T51" s="53">
        <f>IF(OR(C51="", D51=""), "Error: Missing data", IF(OR(R51="Non-Publishing Tasks", R51="Mockup", R51="Principal Publisher Requests", R51="Ideas / Optimization"), 0, (NETWORKDAYS(C51,D51,Holidays!A$2:A$13))-1))</f>
        <v>0</v>
      </c>
      <c r="U51" s="53">
        <f>IF(OR(D51="", F51=""), "Error: Missing data", IF(OR(R51="Non-Publishing Tasks", R51="Mockup", R51="Principal Publisher Requests", R51="Ideas / Optimization"), 0, (NETWORKDAYS(D51,F51,Holidays!A$2:A$13))-1))</f>
        <v>0</v>
      </c>
      <c r="V51" s="53" t="str">
        <f>IF(OR(B51=""),"Error: Dates Required",IF(OR(E51=""),"0",IF(OR(R51="Non-Publishing Tasks",R51="Mockup",R51="Principal Publisher Requests",R51="Ideas / Optimization",R51="Maintenance"),0,(NETWORKDAYS(B51,E51,Holidays!A$2:A$13))-1)))</f>
        <v>0</v>
      </c>
      <c r="W51" s="54" t="b">
        <f>IF(OR(NOT(ISNUMBER(T51)), NOT(ISNUMBER(J51))), "Error: Missing data", T51&lt;=J51)</f>
        <v>1</v>
      </c>
    </row>
    <row r="52" spans="1:23">
      <c r="A52" t="s">
        <v>114</v>
      </c>
      <c r="B52" s="1">
        <v>45762</v>
      </c>
      <c r="C52" s="1">
        <v>45772</v>
      </c>
      <c r="D52" s="1">
        <v>45772</v>
      </c>
      <c r="E52" s="1">
        <v>45768</v>
      </c>
      <c r="F52" s="1">
        <v>45772</v>
      </c>
      <c r="G52" t="s">
        <v>73</v>
      </c>
      <c r="I52" t="s">
        <v>74</v>
      </c>
      <c r="J52">
        <v>3</v>
      </c>
      <c r="L52" t="s">
        <v>115</v>
      </c>
      <c r="N52">
        <v>2</v>
      </c>
      <c r="R52" t="s">
        <v>76</v>
      </c>
      <c r="S52" t="s">
        <v>77</v>
      </c>
      <c r="T52" s="53">
        <f>IF(OR(C52="", D52=""), "Error: Missing data", IF(OR(R52="Non-Publishing Tasks", R52="Mockup", R52="Principal Publisher Requests", R52="Ideas / Optimization"), 0, (NETWORKDAYS(C52,D52,Holidays!A$2:A$13))-1))</f>
        <v>0</v>
      </c>
      <c r="U52" s="53">
        <f>IF(OR(D52="", F52=""), "Error: Missing data", IF(OR(R52="Non-Publishing Tasks", R52="Mockup", R52="Principal Publisher Requests", R52="Ideas / Optimization"), 0, (NETWORKDAYS(D52,F52,Holidays!A$2:A$13))-1))</f>
        <v>0</v>
      </c>
      <c r="V52" s="53">
        <f>IF(OR(B52=""),"Error: Dates Required",IF(OR(E52=""),"0",IF(OR(R52="Non-Publishing Tasks",R52="Mockup",R52="Principal Publisher Requests",R52="Ideas / Optimization",R52="Maintenance"),0,(NETWORKDAYS(B52,E52,Holidays!A$2:A$13))-1)))</f>
        <v>4</v>
      </c>
      <c r="W52" s="54" t="b">
        <f>IF(OR(NOT(ISNUMBER(T52)), NOT(ISNUMBER(J52))), "Error: Missing data", T52&lt;=J52)</f>
        <v>1</v>
      </c>
    </row>
    <row r="53" spans="1:23">
      <c r="A53" t="s">
        <v>178</v>
      </c>
      <c r="B53" s="1">
        <v>45771</v>
      </c>
      <c r="C53" s="1">
        <v>45771</v>
      </c>
      <c r="D53" s="1">
        <v>45771</v>
      </c>
      <c r="E53" s="1">
        <v>45775</v>
      </c>
      <c r="F53" s="1">
        <v>45775</v>
      </c>
      <c r="G53" t="s">
        <v>73</v>
      </c>
      <c r="I53" t="s">
        <v>74</v>
      </c>
      <c r="J53">
        <v>3</v>
      </c>
      <c r="K53">
        <v>20</v>
      </c>
      <c r="L53" t="s">
        <v>179</v>
      </c>
      <c r="N53">
        <v>2</v>
      </c>
      <c r="R53" t="s">
        <v>95</v>
      </c>
      <c r="S53" t="s">
        <v>77</v>
      </c>
      <c r="T53" s="53">
        <f>IF(OR(C53="", D53=""), "Error: Missing data", IF(OR(R53="Non-Publishing Tasks", R53="Mockup", R53="Principal Publisher Requests", R53="Ideas / Optimization"), 0, (NETWORKDAYS(C53,D53,Holidays!A$2:A$13))-1))</f>
        <v>0</v>
      </c>
      <c r="U53" s="53">
        <f>IF(OR(D53="", F53=""), "Error: Missing data", IF(OR(R53="Non-Publishing Tasks", R53="Mockup", R53="Principal Publisher Requests", R53="Ideas / Optimization"), 0, (NETWORKDAYS(D53,F53,Holidays!A$2:A$13))-1))</f>
        <v>2</v>
      </c>
      <c r="V53" s="53">
        <f>IF(OR(B53=""),"Error: Dates Required",IF(OR(E53=""),"0",IF(OR(R53="Non-Publishing Tasks",R53="Mockup",R53="Principal Publisher Requests",R53="Ideas / Optimization",R53="Maintenance"),0,(NETWORKDAYS(B53,E53,Holidays!A$2:A$13))-1)))</f>
        <v>2</v>
      </c>
      <c r="W53" s="54" t="b">
        <f>IF(OR(NOT(ISNUMBER(T53)), NOT(ISNUMBER(J53))), "Error: Missing data", T53&lt;=J53)</f>
        <v>1</v>
      </c>
    </row>
    <row r="54" spans="1:23">
      <c r="A54" t="s">
        <v>137</v>
      </c>
      <c r="B54" s="1">
        <v>45743</v>
      </c>
      <c r="C54" s="1">
        <v>45747</v>
      </c>
      <c r="D54" s="1">
        <v>45748</v>
      </c>
      <c r="E54" s="1">
        <v>45748</v>
      </c>
      <c r="F54" s="1">
        <v>45757</v>
      </c>
      <c r="G54" t="s">
        <v>138</v>
      </c>
      <c r="I54" t="s">
        <v>128</v>
      </c>
      <c r="J54">
        <v>3</v>
      </c>
      <c r="L54" t="s">
        <v>139</v>
      </c>
      <c r="M54">
        <v>0</v>
      </c>
      <c r="N54">
        <v>2</v>
      </c>
      <c r="O54">
        <v>0</v>
      </c>
      <c r="P54">
        <v>0</v>
      </c>
      <c r="Q54">
        <v>0</v>
      </c>
      <c r="R54" t="s">
        <v>103</v>
      </c>
      <c r="S54" t="s">
        <v>109</v>
      </c>
      <c r="T54" s="53">
        <f>IF(OR(C54="", D54=""), "Error: Missing data", IF(OR(R54="Non-Publishing Tasks", R54="Mockup", R54="Principal Publisher Requests", R54="Ideas / Optimization"), 0, (NETWORKDAYS(C54,D54,Holidays!A$2:A$13))-1))</f>
        <v>1</v>
      </c>
      <c r="U54" s="53">
        <f>IF(OR(D54="", F54=""), "Error: Missing data", IF(OR(R54="Non-Publishing Tasks", R54="Mockup", R54="Principal Publisher Requests", R54="Ideas / Optimization"), 0, (NETWORKDAYS(D54,F54,Holidays!A$2:A$13))-1))</f>
        <v>7</v>
      </c>
      <c r="V54" s="53">
        <f>IF(OR(B54=""),"Error: Dates Required",IF(OR(E54=""),"0",IF(OR(R54="Non-Publishing Tasks",R54="Mockup",R54="Principal Publisher Requests",R54="Ideas / Optimization",R54="Maintenance"),0,(NETWORKDAYS(B54,E54,Holidays!A$2:A$13))-1)))</f>
        <v>3</v>
      </c>
      <c r="W54" s="54" t="b">
        <f>IF(OR(NOT(ISNUMBER(T54)), NOT(ISNUMBER(J54))), "Error: Missing data", T54&lt;=J54)</f>
        <v>1</v>
      </c>
    </row>
    <row r="55" spans="1:23">
      <c r="A55" t="s">
        <v>140</v>
      </c>
      <c r="B55" s="1">
        <v>45719</v>
      </c>
      <c r="C55" s="1">
        <v>45721</v>
      </c>
      <c r="D55" s="1">
        <v>45734</v>
      </c>
      <c r="E55" s="1">
        <v>45797</v>
      </c>
      <c r="F55" s="1">
        <v>45757</v>
      </c>
      <c r="G55" t="s">
        <v>138</v>
      </c>
      <c r="H55" t="s">
        <v>101</v>
      </c>
      <c r="I55" t="s">
        <v>88</v>
      </c>
      <c r="J55">
        <v>25</v>
      </c>
      <c r="L55" t="s">
        <v>141</v>
      </c>
      <c r="M55">
        <v>4</v>
      </c>
      <c r="R55" t="s">
        <v>103</v>
      </c>
      <c r="S55" t="s">
        <v>77</v>
      </c>
      <c r="T55" s="53">
        <f>IF(OR(C55="", D55=""), "Error: Missing data", IF(OR(R55="Non-Publishing Tasks", R55="Mockup", R55="Principal Publisher Requests", R55="Ideas / Optimization"), 0, (NETWORKDAYS(C55,D55,Holidays!A$2:A$13))-1))</f>
        <v>9</v>
      </c>
      <c r="U55" s="53">
        <f>IF(OR(D55="", F55=""), "Error: Missing data", IF(OR(R55="Non-Publishing Tasks", R55="Mockup", R55="Principal Publisher Requests", R55="Ideas / Optimization"), 0, (NETWORKDAYS(D55,F55,Holidays!A$2:A$13))-1))</f>
        <v>17</v>
      </c>
      <c r="V55" s="53">
        <f>IF(OR(B55=""),"Error: Dates Required",IF(OR(E55=""),"0",IF(OR(R55="Non-Publishing Tasks",R55="Mockup",R55="Principal Publisher Requests",R55="Ideas / Optimization",R55="Maintenance"),0,(NETWORKDAYS(B55,E55,Holidays!A$2:A$13))-1)))</f>
        <v>55</v>
      </c>
      <c r="W55" s="54" t="b">
        <f>IF(OR(NOT(ISNUMBER(T55)), NOT(ISNUMBER(J55))), "Error: Missing data", T55&lt;=J55)</f>
        <v>1</v>
      </c>
    </row>
  </sheetData>
  <conditionalFormatting sqref="T1:V55">
    <cfRule type="containsText" dxfId="14" priority="9" operator="containsText" text="Error">
      <formula>NOT(ISERROR(SEARCH("Error",T1)))</formula>
    </cfRule>
  </conditionalFormatting>
  <conditionalFormatting sqref="W1">
    <cfRule type="containsText" dxfId="13" priority="6" operator="containsText" text="Error">
      <formula>NOT(ISERROR(SEARCH("Error",W1)))</formula>
    </cfRule>
    <cfRule type="containsText" dxfId="12" priority="7" operator="containsText" text="true">
      <formula>NOT(ISERROR(SEARCH("true",W1)))</formula>
    </cfRule>
    <cfRule type="containsText" dxfId="11" priority="8" operator="containsText" text="FALSE">
      <formula>NOT(ISERROR(SEARCH("FALSE",W1)))</formula>
    </cfRule>
  </conditionalFormatting>
  <conditionalFormatting sqref="W1:W55">
    <cfRule type="containsText" dxfId="10" priority="3" operator="containsText" text="Error: Missing data">
      <formula>NOT(ISERROR(SEARCH("Error: Missing data",W1)))</formula>
    </cfRule>
    <cfRule type="containsText" dxfId="9" priority="4" operator="containsText" text="TRUE">
      <formula>NOT(ISERROR(SEARCH("TRUE",W1)))</formula>
    </cfRule>
    <cfRule type="containsText" dxfId="8" priority="5" operator="containsText" text="FALSE">
      <formula>NOT(ISERROR(SEARCH("FALSE",W1)))</formula>
    </cfRule>
  </conditionalFormatting>
  <conditionalFormatting sqref="A2:A55">
    <cfRule type="containsText" dxfId="7" priority="1" operator="containsText" text="FALSE">
      <formula>NOT(ISERROR(SEARCH("FALSE",A2)))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BB77-BE1F-41A4-B562-031F436E68B5}">
  <sheetPr codeName="Sheet9"/>
  <dimension ref="A1:B13"/>
  <sheetViews>
    <sheetView workbookViewId="0">
      <selection activeCell="A8" sqref="A8"/>
    </sheetView>
  </sheetViews>
  <sheetFormatPr defaultRowHeight="15"/>
  <cols>
    <col min="1" max="1" width="10.7109375" customWidth="1"/>
    <col min="2" max="2" width="22.140625" customWidth="1"/>
  </cols>
  <sheetData>
    <row r="1" spans="1:2">
      <c r="A1" s="2" t="s">
        <v>21</v>
      </c>
      <c r="B1" s="2" t="s">
        <v>22</v>
      </c>
    </row>
    <row r="2" spans="1:2">
      <c r="A2" s="3">
        <v>46023</v>
      </c>
      <c r="B2" s="4" t="s">
        <v>23</v>
      </c>
    </row>
    <row r="3" spans="1:2">
      <c r="A3" s="1">
        <v>46130</v>
      </c>
      <c r="B3" s="5" t="s">
        <v>24</v>
      </c>
    </row>
    <row r="4" spans="1:2">
      <c r="A4" s="1">
        <v>46133</v>
      </c>
      <c r="B4" s="5" t="s">
        <v>25</v>
      </c>
    </row>
    <row r="5" spans="1:2">
      <c r="A5" s="1">
        <v>45797</v>
      </c>
      <c r="B5" s="5" t="s">
        <v>26</v>
      </c>
    </row>
    <row r="6" spans="1:2">
      <c r="A6" s="3">
        <v>45839</v>
      </c>
      <c r="B6" s="4" t="s">
        <v>27</v>
      </c>
    </row>
    <row r="7" spans="1:2">
      <c r="A7" s="6">
        <v>45874</v>
      </c>
      <c r="B7" s="5" t="s">
        <v>28</v>
      </c>
    </row>
    <row r="8" spans="1:2">
      <c r="A8" s="6">
        <v>45901</v>
      </c>
      <c r="B8" s="5" t="s">
        <v>29</v>
      </c>
    </row>
    <row r="9" spans="1:2" ht="30">
      <c r="A9" s="6">
        <v>45930</v>
      </c>
      <c r="B9" s="5" t="s">
        <v>30</v>
      </c>
    </row>
    <row r="10" spans="1:2">
      <c r="A10" s="6">
        <v>45944</v>
      </c>
      <c r="B10" s="5" t="s">
        <v>31</v>
      </c>
    </row>
    <row r="11" spans="1:2">
      <c r="A11" s="3">
        <v>45972</v>
      </c>
      <c r="B11" s="4" t="s">
        <v>32</v>
      </c>
    </row>
    <row r="12" spans="1:2">
      <c r="A12" s="3">
        <v>46016</v>
      </c>
      <c r="B12" s="4" t="s">
        <v>33</v>
      </c>
    </row>
    <row r="13" spans="1:2">
      <c r="A13" s="3">
        <v>46017</v>
      </c>
      <c r="B13" s="4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SLA</vt:lpstr>
      <vt:lpstr>upd-new-del</vt:lpstr>
      <vt:lpstr>2025-2026 data </vt:lpstr>
      <vt:lpstr>Holidays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Essiambre, Cynthia (IRCC/IRCC) (she, her | elle, la)</dc:creator>
  <cp:lastModifiedBy>Essiambre, Cynthia (IRCC/IRCC) (she, her | elle, la)</cp:lastModifiedBy>
  <dcterms:created xsi:type="dcterms:W3CDTF">2025-02-27T18:27:12Z</dcterms:created>
  <dcterms:modified xsi:type="dcterms:W3CDTF">2025-05-02T18:03:42Z</dcterms:modified>
</cp:coreProperties>
</file>